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19200" windowHeight="6468" tabRatio="600" firstSheet="0" activeTab="0" autoFilterDateGrouping="1"/>
  </bookViews>
  <sheets>
    <sheet xmlns:r="http://schemas.openxmlformats.org/officeDocument/2006/relationships" name="CDF Template FR to E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#,##0.0"/>
    <numFmt numFmtId="165" formatCode="_(&quot;$&quot;* #,##0.00_);_(&quot;$&quot;* \(#,##0.00\);_(&quot;$&quot;* &quot;-&quot;??_);_(@_)"/>
    <numFmt numFmtId="166" formatCode="[$-409]d\-mmm\-yyyy;@"/>
    <numFmt numFmtId="167" formatCode="&quot;$&quot;#,##0.00"/>
    <numFmt numFmtId="168" formatCode="[$CDF]\ #,##0.00"/>
    <numFmt numFmtId="169" formatCode="[&lt;=9999999]###\-####;\(###\)\ ###\-####"/>
    <numFmt numFmtId="170" formatCode="[$-409]mmm\-yy;@"/>
    <numFmt numFmtId="171" formatCode="[$-409]d\-mmm\-yy;@"/>
    <numFmt numFmtId="172" formatCode="_-* #,##0.00_-;\-* #,##0.00_-;_-* &quot;-&quot;??_-;_-@_-"/>
    <numFmt numFmtId="173" formatCode="_-* #,##0.00\ [$€]_-;\-* #,##0.00\ [$€]_-;_-* &quot;-&quot;??\ [$€]_-;_-@_-"/>
  </numFmts>
  <fonts count="6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Arial"/>
      <family val="2"/>
      <sz val="10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52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Arial MT"/>
      <family val="2"/>
      <color indexed="12"/>
      <sz val="10.45"/>
      <u val="single"/>
    </font>
    <font>
      <name val="Calibri"/>
      <family val="2"/>
      <color indexed="62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color indexed="60"/>
      <sz val="11"/>
    </font>
    <font>
      <name val="Times New Roman"/>
      <family val="1"/>
      <sz val="8"/>
    </font>
    <font>
      <name val="Arial"/>
      <charset val="1"/>
      <family val="2"/>
      <sz val="10"/>
    </font>
    <font>
      <name val="Verdana"/>
      <family val="2"/>
      <sz val="10"/>
    </font>
    <font>
      <name val="MS Sans Serif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8"/>
      <sz val="10"/>
    </font>
    <font>
      <name val="Arial"/>
      <family val="2"/>
      <sz val="8"/>
    </font>
    <font>
      <name val="Calibri"/>
      <family val="2"/>
      <color indexed="14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62"/>
      <sz val="18"/>
    </font>
    <font>
      <name val="Cambria"/>
      <family val="2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Times New Roman"/>
      <family val="1"/>
      <sz val="11"/>
    </font>
    <font>
      <name val="Times New Roman"/>
      <family val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11"/>
    </font>
    <font>
      <name val="Arial Narrow"/>
      <family val="2"/>
      <color theme="1"/>
      <sz val="9"/>
    </font>
    <font>
      <name val="Arial Narrow"/>
      <family val="2"/>
      <b val="1"/>
      <sz val="10"/>
    </font>
    <font>
      <name val="Arial Narrow"/>
      <family val="2"/>
      <b val="1"/>
      <color theme="1"/>
      <sz val="10"/>
    </font>
    <font>
      <name val="Arial Narrow"/>
      <family val="2"/>
      <color theme="1"/>
      <sz val="10"/>
    </font>
    <font>
      <name val="Arial Narrow"/>
      <family val="2"/>
      <b val="1"/>
      <color theme="1"/>
      <sz val="12"/>
    </font>
    <font>
      <name val="Arial Narrow"/>
      <family val="2"/>
      <sz val="11"/>
    </font>
    <font>
      <name val="Arial Narrow"/>
      <family val="2"/>
      <sz val="10"/>
    </font>
    <font>
      <name val="Arial Narrow"/>
      <family val="2"/>
      <sz val="9"/>
    </font>
    <font>
      <name val="Arial Narrow"/>
      <family val="2"/>
      <b val="1"/>
      <sz val="11"/>
    </font>
    <font>
      <name val="Arial Narrow"/>
      <family val="2"/>
      <b val="1"/>
      <sz val="9"/>
    </font>
    <font>
      <name val="Arial Narrow"/>
      <family val="2"/>
      <color theme="1"/>
      <sz val="8"/>
    </font>
    <font>
      <name val="Arial Narrow"/>
      <family val="2"/>
      <color theme="1"/>
      <sz val="12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Goudy Old Style"/>
      <family val="1"/>
      <b val="1"/>
      <color theme="1"/>
      <sz val="26"/>
    </font>
    <font>
      <name val="Calibri"/>
      <family val="2"/>
      <color theme="1"/>
      <sz val="8"/>
      <scheme val="minor"/>
    </font>
    <font>
      <name val="Arial Narrow"/>
      <family val="2"/>
      <b val="1"/>
      <color theme="1"/>
      <sz val="28"/>
    </font>
    <font>
      <name val="Calibri"/>
      <family val="2"/>
      <color theme="10"/>
      <sz val="11"/>
      <u val="single"/>
      <scheme val="minor"/>
    </font>
    <font>
      <name val="Arial Narrow"/>
      <family val="2"/>
      <b val="1"/>
      <color theme="1"/>
      <sz val="14"/>
    </font>
    <font>
      <name val="Calibri"/>
      <family val="2"/>
      <b val="1"/>
      <i val="1"/>
      <color theme="1"/>
      <sz val="10"/>
      <scheme val="minor"/>
    </font>
    <font>
      <name val="Arial Narrow"/>
      <family val="2"/>
      <color theme="1"/>
      <sz val="14"/>
    </font>
    <font>
      <name val="Times New Roman"/>
      <family val="1"/>
      <sz val="11"/>
    </font>
    <font>
      <name val="Arial Narrow"/>
      <family val="2"/>
      <sz val="14"/>
    </font>
    <font>
      <name val="Arial Narrow"/>
      <family val="2"/>
      <b val="1"/>
      <sz val="16"/>
    </font>
    <font>
      <name val="Arial Narrow"/>
      <family val="2"/>
      <b val="1"/>
      <sz val="18"/>
    </font>
    <font>
      <name val="Calibri"/>
      <family val="2"/>
      <b val="1"/>
      <color theme="1"/>
      <sz val="12"/>
      <scheme val="minor"/>
    </font>
  </fonts>
  <fills count="2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</fills>
  <borders count="86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59">
    <xf numFmtId="0" fontId="1" fillId="0" borderId="0"/>
    <xf numFmtId="0" fontId="2" fillId="3" borderId="0"/>
    <xf numFmtId="0" fontId="2" fillId="3" borderId="0"/>
    <xf numFmtId="0" fontId="2" fillId="3" borderId="0"/>
    <xf numFmtId="0" fontId="2" fillId="3" borderId="0"/>
    <xf numFmtId="0" fontId="2" fillId="3" borderId="0"/>
    <xf numFmtId="0" fontId="2" fillId="4" borderId="0"/>
    <xf numFmtId="0" fontId="2" fillId="4" borderId="0"/>
    <xf numFmtId="0" fontId="2" fillId="4" borderId="0"/>
    <xf numFmtId="0" fontId="2" fillId="4" borderId="0"/>
    <xf numFmtId="0" fontId="2" fillId="4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7" borderId="0"/>
    <xf numFmtId="0" fontId="2" fillId="7" borderId="0"/>
    <xf numFmtId="0" fontId="2" fillId="7" borderId="0"/>
    <xf numFmtId="0" fontId="2" fillId="7" borderId="0"/>
    <xf numFmtId="0" fontId="2" fillId="7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3" fillId="13" borderId="0"/>
    <xf numFmtId="0" fontId="3" fillId="13" borderId="0"/>
    <xf numFmtId="0" fontId="3" fillId="13" borderId="0"/>
    <xf numFmtId="0" fontId="3" fillId="13" borderId="0"/>
    <xf numFmtId="0" fontId="3" fillId="13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16" borderId="0"/>
    <xf numFmtId="0" fontId="3" fillId="16" borderId="0"/>
    <xf numFmtId="0" fontId="3" fillId="16" borderId="0"/>
    <xf numFmtId="0" fontId="3" fillId="16" borderId="0"/>
    <xf numFmtId="0" fontId="3" fillId="16" borderId="0"/>
    <xf numFmtId="0" fontId="3" fillId="17" borderId="0"/>
    <xf numFmtId="0" fontId="3" fillId="17" borderId="0"/>
    <xf numFmtId="0" fontId="3" fillId="17" borderId="0"/>
    <xf numFmtId="0" fontId="3" fillId="17" borderId="0"/>
    <xf numFmtId="0" fontId="3" fillId="17" borderId="0"/>
    <xf numFmtId="0" fontId="3" fillId="18" borderId="0"/>
    <xf numFmtId="0" fontId="3" fillId="18" borderId="0"/>
    <xf numFmtId="0" fontId="3" fillId="18" borderId="0"/>
    <xf numFmtId="0" fontId="3" fillId="18" borderId="0"/>
    <xf numFmtId="0" fontId="3" fillId="18" borderId="0"/>
    <xf numFmtId="0" fontId="3" fillId="19" borderId="0"/>
    <xf numFmtId="0" fontId="3" fillId="19" borderId="0"/>
    <xf numFmtId="0" fontId="3" fillId="19" borderId="0"/>
    <xf numFmtId="0" fontId="3" fillId="19" borderId="0"/>
    <xf numFmtId="0" fontId="3" fillId="19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20" borderId="0"/>
    <xf numFmtId="0" fontId="3" fillId="20" borderId="0"/>
    <xf numFmtId="0" fontId="3" fillId="20" borderId="0"/>
    <xf numFmtId="0" fontId="3" fillId="20" borderId="0"/>
    <xf numFmtId="0" fontId="3" fillId="20" borderId="0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0" fontId="5" fillId="4" borderId="0"/>
    <xf numFmtId="0" fontId="5" fillId="4" borderId="0"/>
    <xf numFmtId="0" fontId="5" fillId="4" borderId="0"/>
    <xf numFmtId="0" fontId="5" fillId="4" borderId="0"/>
    <xf numFmtId="0" fontId="5" fillId="4" borderId="0"/>
    <xf numFmtId="0" fontId="6" fillId="21" borderId="2"/>
    <xf numFmtId="0" fontId="6" fillId="22" borderId="2"/>
    <xf numFmtId="0" fontId="6" fillId="22" borderId="2"/>
    <xf numFmtId="0" fontId="6" fillId="22" borderId="2"/>
    <xf numFmtId="0" fontId="6" fillId="22" borderId="2"/>
    <xf numFmtId="0" fontId="6" fillId="22" borderId="2"/>
    <xf numFmtId="0" fontId="7" fillId="23" borderId="3"/>
    <xf numFmtId="0" fontId="7" fillId="23" borderId="3"/>
    <xf numFmtId="0" fontId="7" fillId="23" borderId="3"/>
    <xf numFmtId="0" fontId="7" fillId="23" borderId="3"/>
    <xf numFmtId="0" fontId="7" fillId="23" borderId="3"/>
    <xf numFmtId="170" fontId="4" fillId="0" borderId="0"/>
    <xf numFmtId="170" fontId="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0" fontId="4" fillId="0" borderId="0"/>
    <xf numFmtId="43" fontId="4" fillId="0" borderId="0"/>
    <xf numFmtId="170" fontId="4" fillId="0" borderId="0"/>
    <xf numFmtId="170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1" fillId="0" borderId="0"/>
    <xf numFmtId="43" fontId="1" fillId="0" borderId="0"/>
    <xf numFmtId="43" fontId="1" fillId="0" borderId="0"/>
    <xf numFmtId="43" fontId="2" fillId="0" borderId="0"/>
    <xf numFmtId="170" fontId="4" fillId="0" borderId="0"/>
    <xf numFmtId="170" fontId="4" fillId="0" borderId="0"/>
    <xf numFmtId="43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1" fontId="4" fillId="0" borderId="0"/>
    <xf numFmtId="0" fontId="4" fillId="0" borderId="0"/>
    <xf numFmtId="170" fontId="4" fillId="0" borderId="0"/>
    <xf numFmtId="170" fontId="4" fillId="0" borderId="0"/>
    <xf numFmtId="170" fontId="4" fillId="0" borderId="0"/>
    <xf numFmtId="43" fontId="2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0" fontId="4" fillId="0" borderId="0"/>
    <xf numFmtId="171" fontId="4" fillId="0" borderId="0"/>
    <xf numFmtId="0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72" fontId="1" fillId="0" borderId="0"/>
    <xf numFmtId="43" fontId="2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72" fontId="1" fillId="0" borderId="0"/>
    <xf numFmtId="172" fontId="1" fillId="0" borderId="0"/>
    <xf numFmtId="43" fontId="4" fillId="0" borderId="0"/>
    <xf numFmtId="43" fontId="4" fillId="0" borderId="0"/>
    <xf numFmtId="43" fontId="2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72" fontId="1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1" fillId="0" borderId="0"/>
    <xf numFmtId="43" fontId="4" fillId="0" borderId="0"/>
    <xf numFmtId="43" fontId="1" fillId="0" borderId="0"/>
    <xf numFmtId="43" fontId="1" fillId="0" borderId="0"/>
    <xf numFmtId="43" fontId="1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70" fontId="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7" fillId="23" borderId="3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1" fillId="0" borderId="0"/>
    <xf numFmtId="44" fontId="4" fillId="0" borderId="0"/>
    <xf numFmtId="44" fontId="1" fillId="0" borderId="0"/>
    <xf numFmtId="44" fontId="1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4"/>
    <xf numFmtId="0" fontId="10" fillId="5" borderId="0"/>
    <xf numFmtId="0" fontId="10" fillId="5" borderId="0"/>
    <xf numFmtId="0" fontId="10" fillId="5" borderId="0"/>
    <xf numFmtId="0" fontId="10" fillId="5" borderId="0"/>
    <xf numFmtId="0" fontId="10" fillId="5" borderId="0"/>
    <xf numFmtId="0" fontId="10" fillId="5" borderId="0"/>
    <xf numFmtId="0" fontId="11" fillId="0" borderId="5"/>
    <xf numFmtId="0" fontId="11" fillId="0" borderId="5"/>
    <xf numFmtId="0" fontId="11" fillId="0" borderId="5"/>
    <xf numFmtId="0" fontId="11" fillId="0" borderId="5"/>
    <xf numFmtId="0" fontId="11" fillId="0" borderId="5"/>
    <xf numFmtId="0" fontId="12" fillId="0" borderId="6"/>
    <xf numFmtId="0" fontId="12" fillId="0" borderId="6"/>
    <xf numFmtId="0" fontId="12" fillId="0" borderId="6"/>
    <xf numFmtId="0" fontId="12" fillId="0" borderId="6"/>
    <xf numFmtId="0" fontId="12" fillId="0" borderId="6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 applyAlignment="1" applyProtection="1">
      <alignment vertical="top"/>
      <protection locked="0" hidden="0"/>
    </xf>
    <xf numFmtId="0" fontId="15" fillId="8" borderId="2"/>
    <xf numFmtId="0" fontId="15" fillId="8" borderId="2"/>
    <xf numFmtId="0" fontId="15" fillId="8" borderId="2"/>
    <xf numFmtId="0" fontId="15" fillId="8" borderId="2"/>
    <xf numFmtId="0" fontId="15" fillId="8" borderId="2"/>
    <xf numFmtId="0" fontId="15" fillId="8" borderId="2"/>
    <xf numFmtId="0" fontId="16" fillId="0" borderId="8"/>
    <xf numFmtId="0" fontId="17" fillId="0" borderId="6"/>
    <xf numFmtId="0" fontId="18" fillId="0" borderId="9"/>
    <xf numFmtId="0" fontId="18" fillId="0" borderId="0"/>
    <xf numFmtId="0" fontId="9" fillId="0" borderId="4"/>
    <xf numFmtId="0" fontId="9" fillId="0" borderId="4"/>
    <xf numFmtId="0" fontId="9" fillId="0" borderId="4"/>
    <xf numFmtId="0" fontId="9" fillId="0" borderId="4"/>
    <xf numFmtId="0" fontId="9" fillId="0" borderId="4"/>
    <xf numFmtId="41" fontId="4" fillId="0" borderId="0"/>
    <xf numFmtId="0" fontId="19" fillId="24" borderId="0"/>
    <xf numFmtId="0" fontId="19" fillId="24" borderId="0"/>
    <xf numFmtId="0" fontId="19" fillId="24" borderId="0"/>
    <xf numFmtId="0" fontId="19" fillId="24" borderId="0"/>
    <xf numFmtId="0" fontId="19" fillId="24" borderId="0"/>
    <xf numFmtId="0" fontId="19" fillId="24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1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1" fontId="20" fillId="0" borderId="0"/>
    <xf numFmtId="0" fontId="20" fillId="0" borderId="0"/>
    <xf numFmtId="0" fontId="2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1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4" fillId="0" borderId="0"/>
    <xf numFmtId="0" fontId="1" fillId="0" borderId="0"/>
    <xf numFmtId="0" fontId="1" fillId="0" borderId="0"/>
    <xf numFmtId="0" fontId="4" fillId="0" borderId="0"/>
    <xf numFmtId="0" fontId="2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170" fontId="2" fillId="0" borderId="0"/>
    <xf numFmtId="0" fontId="2" fillId="0" borderId="0"/>
    <xf numFmtId="0" fontId="4" fillId="0" borderId="0"/>
    <xf numFmtId="0" fontId="4" fillId="0" borderId="0"/>
    <xf numFmtId="0" fontId="23" fillId="0" borderId="0"/>
    <xf numFmtId="17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3" fontId="26" fillId="0" borderId="11" applyAlignment="1">
      <alignment horizontal="center"/>
    </xf>
    <xf numFmtId="0" fontId="27" fillId="4" borderId="0"/>
    <xf numFmtId="0" fontId="28" fillId="22" borderId="12"/>
    <xf numFmtId="0" fontId="28" fillId="22" borderId="12"/>
    <xf numFmtId="0" fontId="28" fillId="22" borderId="12"/>
    <xf numFmtId="0" fontId="28" fillId="22" borderId="12"/>
    <xf numFmtId="0" fontId="28" fillId="22" borderId="12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1" fillId="0" borderId="0"/>
    <xf numFmtId="9" fontId="4" fillId="0" borderId="0"/>
    <xf numFmtId="9" fontId="1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1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4" fillId="0" borderId="0"/>
    <xf numFmtId="9" fontId="1" fillId="0" borderId="0"/>
    <xf numFmtId="9" fontId="1" fillId="0" borderId="0"/>
    <xf numFmtId="0" fontId="2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13"/>
    <xf numFmtId="0" fontId="31" fillId="0" borderId="14"/>
    <xf numFmtId="0" fontId="31" fillId="0" borderId="14"/>
    <xf numFmtId="0" fontId="31" fillId="0" borderId="14"/>
    <xf numFmtId="0" fontId="31" fillId="0" borderId="14"/>
    <xf numFmtId="0" fontId="31" fillId="0" borderId="14"/>
    <xf numFmtId="0" fontId="28" fillId="21" borderId="12"/>
    <xf numFmtId="0" fontId="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4" fontId="1" fillId="0" borderId="0"/>
    <xf numFmtId="43" fontId="1" fillId="0" borderId="0"/>
    <xf numFmtId="0" fontId="58" fillId="0" borderId="0"/>
    <xf numFmtId="43" fontId="58" fillId="0" borderId="0"/>
    <xf numFmtId="0" fontId="58" fillId="0" borderId="0"/>
    <xf numFmtId="0" fontId="54" fillId="0" borderId="0"/>
    <xf numFmtId="0" fontId="58" fillId="0" borderId="0"/>
    <xf numFmtId="43" fontId="1" fillId="0" borderId="0"/>
    <xf numFmtId="44" fontId="58" fillId="0" borderId="0"/>
    <xf numFmtId="0" fontId="58" fillId="0" borderId="0"/>
    <xf numFmtId="0" fontId="1" fillId="0" borderId="0"/>
    <xf numFmtId="170" fontId="4" fillId="0" borderId="0"/>
  </cellStyleXfs>
  <cellXfs count="305">
    <xf numFmtId="0" fontId="0" fillId="0" borderId="0" pivotButton="0" quotePrefix="0" xfId="0"/>
    <xf numFmtId="0" fontId="40" fillId="0" borderId="0" applyAlignment="1" applyProtection="1" pivotButton="0" quotePrefix="0" xfId="0">
      <alignment horizontal="left" wrapText="1"/>
      <protection locked="0" hidden="0"/>
    </xf>
    <xf numFmtId="0" fontId="40" fillId="0" borderId="0" applyAlignment="1" applyProtection="1" pivotButton="0" quotePrefix="0" xfId="0">
      <alignment horizontal="center" wrapText="1"/>
      <protection locked="0" hidden="0"/>
    </xf>
    <xf numFmtId="164" fontId="40" fillId="0" borderId="0" applyAlignment="1" applyProtection="1" pivotButton="0" quotePrefix="0" xfId="0">
      <alignment horizontal="center" wrapText="1"/>
      <protection locked="0" hidden="0"/>
    </xf>
    <xf numFmtId="164" fontId="40" fillId="0" borderId="59" applyAlignment="1" applyProtection="1" pivotButton="0" quotePrefix="0" xfId="0">
      <alignment horizontal="center" wrapText="1"/>
      <protection locked="0" hidden="0"/>
    </xf>
    <xf numFmtId="0" fontId="45" fillId="0" borderId="37" applyAlignment="1" applyProtection="1" pivotButton="0" quotePrefix="0" xfId="0">
      <alignment horizontal="right" vertical="center" wrapText="1"/>
      <protection locked="0" hidden="0"/>
    </xf>
    <xf numFmtId="0" fontId="51" fillId="0" borderId="31" applyAlignment="1" applyProtection="1" pivotButton="0" quotePrefix="0" xfId="0">
      <alignment horizontal="center" vertical="center" wrapText="1"/>
      <protection locked="0" hidden="0"/>
    </xf>
    <xf numFmtId="0" fontId="51" fillId="0" borderId="0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52" fillId="0" borderId="0" applyAlignment="1" applyProtection="1" pivotButton="0" quotePrefix="0" xfId="0">
      <alignment horizontal="center" wrapText="1"/>
      <protection locked="0" hidden="0"/>
    </xf>
    <xf numFmtId="43" fontId="0" fillId="0" borderId="0" applyAlignment="1" applyProtection="1" pivotButton="0" quotePrefix="0" xfId="0">
      <alignment horizontal="right" wrapText="1"/>
      <protection locked="0" hidden="0"/>
    </xf>
    <xf numFmtId="43" fontId="0" fillId="0" borderId="0" applyAlignment="1" applyProtection="1" pivotButton="0" quotePrefix="0" xfId="0">
      <alignment horizontal="center" vertical="center" wrapText="1"/>
      <protection locked="0" hidden="0"/>
    </xf>
    <xf numFmtId="43" fontId="40" fillId="0" borderId="59" applyAlignment="1" applyProtection="1" pivotButton="0" quotePrefix="0" xfId="0">
      <alignment horizontal="right" wrapText="1"/>
      <protection locked="0" hidden="0"/>
    </xf>
    <xf numFmtId="43" fontId="40" fillId="0" borderId="59" applyAlignment="1" applyProtection="1" pivotButton="0" quotePrefix="0" xfId="0">
      <alignment horizontal="center" vertical="center" wrapText="1"/>
      <protection locked="0" hidden="0"/>
    </xf>
    <xf numFmtId="43" fontId="40" fillId="0" borderId="67" applyAlignment="1" applyProtection="1" pivotButton="0" quotePrefix="0" xfId="0">
      <alignment horizontal="center" vertical="center" wrapText="1"/>
      <protection locked="0" hidden="0"/>
    </xf>
    <xf numFmtId="0" fontId="47" fillId="0" borderId="0" applyAlignment="1" applyProtection="1" pivotButton="0" quotePrefix="0" xfId="0">
      <alignment horizontal="center" wrapText="1"/>
      <protection locked="0" hidden="0"/>
    </xf>
    <xf numFmtId="43" fontId="40" fillId="0" borderId="0" applyAlignment="1" applyProtection="1" pivotButton="0" quotePrefix="0" xfId="0">
      <alignment horizontal="right" wrapText="1"/>
      <protection locked="0" hidden="0"/>
    </xf>
    <xf numFmtId="43" fontId="40" fillId="0" borderId="0" applyAlignment="1" applyProtection="1" pivotButton="0" quotePrefix="0" xfId="0">
      <alignment horizontal="center" vertical="center" wrapText="1"/>
      <protection locked="0" hidden="0"/>
    </xf>
    <xf numFmtId="0" fontId="36" fillId="27" borderId="39" applyAlignment="1" applyProtection="1" pivotButton="0" quotePrefix="0" xfId="0">
      <alignment horizontal="center" vertical="center" wrapText="1"/>
      <protection locked="0" hidden="0"/>
    </xf>
    <xf numFmtId="0" fontId="44" fillId="28" borderId="11" applyAlignment="1" applyProtection="1" pivotButton="0" quotePrefix="0" xfId="400">
      <alignment horizontal="center" vertical="center" wrapText="1"/>
      <protection locked="0" hidden="0"/>
    </xf>
    <xf numFmtId="0" fontId="43" fillId="0" borderId="62" applyAlignment="1" applyProtection="1" pivotButton="0" quotePrefix="0" xfId="400">
      <alignment horizontal="right" vertical="center" wrapText="1"/>
      <protection locked="0" hidden="0"/>
    </xf>
    <xf numFmtId="0" fontId="43" fillId="0" borderId="59" applyAlignment="1" applyProtection="1" pivotButton="0" quotePrefix="0" xfId="400">
      <alignment horizontal="right" vertical="center" wrapText="1"/>
      <protection locked="0" hidden="0"/>
    </xf>
    <xf numFmtId="165" fontId="43" fillId="0" borderId="59" applyAlignment="1" applyProtection="1" pivotButton="0" quotePrefix="0" xfId="647">
      <alignment horizontal="center" vertical="center" wrapText="1"/>
      <protection locked="0" hidden="0"/>
    </xf>
    <xf numFmtId="0" fontId="36" fillId="28" borderId="51" applyAlignment="1" applyProtection="1" pivotButton="0" quotePrefix="0" xfId="0">
      <alignment horizontal="center" vertical="center" wrapText="1"/>
      <protection locked="0" hidden="0"/>
    </xf>
    <xf numFmtId="0" fontId="36" fillId="28" borderId="59" applyAlignment="1" applyProtection="1" pivotButton="0" quotePrefix="0" xfId="0">
      <alignment horizontal="center" vertical="center" wrapText="1"/>
      <protection locked="0" hidden="0"/>
    </xf>
    <xf numFmtId="0" fontId="36" fillId="28" borderId="67" applyAlignment="1" applyProtection="1" pivotButton="0" quotePrefix="0" xfId="0">
      <alignment horizontal="center" vertical="center" wrapText="1"/>
      <protection locked="0" hidden="0"/>
    </xf>
    <xf numFmtId="37" fontId="44" fillId="0" borderId="11" applyAlignment="1" applyProtection="1" pivotButton="0" quotePrefix="0" xfId="400">
      <alignment horizontal="center" vertical="center" wrapText="1"/>
      <protection locked="0" hidden="0"/>
    </xf>
    <xf numFmtId="3" fontId="44" fillId="0" borderId="11" applyAlignment="1" applyProtection="1" pivotButton="0" quotePrefix="0" xfId="400">
      <alignment horizontal="center" vertical="center" wrapText="1"/>
      <protection locked="0" hidden="0"/>
    </xf>
    <xf numFmtId="0" fontId="44" fillId="0" borderId="19" applyAlignment="1" applyProtection="1" pivotButton="0" quotePrefix="0" xfId="400">
      <alignment horizontal="center" vertical="center" wrapText="1"/>
      <protection locked="0" hidden="0"/>
    </xf>
    <xf numFmtId="0" fontId="46" fillId="0" borderId="19" applyAlignment="1" applyProtection="1" pivotButton="0" quotePrefix="0" xfId="400">
      <alignment horizontal="center" vertical="center" wrapText="1"/>
      <protection locked="0" hidden="0"/>
    </xf>
    <xf numFmtId="49" fontId="45" fillId="0" borderId="24" applyAlignment="1" applyProtection="1" pivotButton="0" quotePrefix="0" xfId="0">
      <alignment horizontal="center" vertical="center" wrapText="1"/>
      <protection locked="0" hidden="0"/>
    </xf>
    <xf numFmtId="0" fontId="39" fillId="28" borderId="48" applyAlignment="1" applyProtection="1" pivotButton="0" quotePrefix="0" xfId="0">
      <alignment horizontal="center" vertical="center" wrapText="1"/>
      <protection locked="0" hidden="0"/>
    </xf>
    <xf numFmtId="0" fontId="36" fillId="27" borderId="39" applyAlignment="1" applyProtection="1" pivotButton="0" quotePrefix="0" xfId="0">
      <alignment horizontal="center" wrapText="1"/>
      <protection locked="0" hidden="0"/>
    </xf>
    <xf numFmtId="43" fontId="39" fillId="0" borderId="0" applyAlignment="1" applyProtection="1" pivotButton="0" quotePrefix="0" xfId="0">
      <alignment horizontal="center" vertical="center" wrapText="1"/>
      <protection locked="0" hidden="0"/>
    </xf>
    <xf numFmtId="0" fontId="40" fillId="0" borderId="59" applyAlignment="1" pivotButton="0" quotePrefix="0" xfId="0">
      <alignment vertical="center" wrapText="1"/>
    </xf>
    <xf numFmtId="0" fontId="47" fillId="0" borderId="0" applyAlignment="1" applyProtection="1" pivotButton="0" quotePrefix="0" xfId="0">
      <alignment horizontal="center" wrapText="1"/>
      <protection locked="0" hidden="0"/>
    </xf>
    <xf numFmtId="0" fontId="40" fillId="0" borderId="31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49" fontId="35" fillId="0" borderId="58" applyAlignment="1" applyProtection="1" pivotButton="0" quotePrefix="0" xfId="0">
      <alignment horizontal="center" vertical="center" wrapText="1"/>
      <protection locked="0" hidden="0"/>
    </xf>
    <xf numFmtId="0" fontId="35" fillId="0" borderId="53" applyAlignment="1" applyProtection="1" pivotButton="0" quotePrefix="0" xfId="0">
      <alignment horizontal="center" vertical="center" wrapText="1"/>
      <protection locked="0" hidden="0"/>
    </xf>
    <xf numFmtId="166" fontId="35" fillId="0" borderId="66" applyAlignment="1" applyProtection="1" pivotButton="0" quotePrefix="0" xfId="0">
      <alignment horizontal="center" vertical="center" wrapText="1"/>
      <protection locked="0" hidden="0"/>
    </xf>
    <xf numFmtId="0" fontId="35" fillId="0" borderId="58" applyAlignment="1" applyProtection="1" pivotButton="0" quotePrefix="0" xfId="0">
      <alignment horizontal="center" vertical="center" wrapText="1"/>
      <protection locked="0" hidden="0"/>
    </xf>
    <xf numFmtId="49" fontId="35" fillId="0" borderId="53" applyAlignment="1" applyProtection="1" pivotButton="0" quotePrefix="0" xfId="0">
      <alignment horizontal="center" vertical="center" wrapText="1"/>
      <protection locked="0" hidden="0"/>
    </xf>
    <xf numFmtId="0" fontId="40" fillId="0" borderId="59" applyAlignment="1" applyProtection="1" pivotButton="0" quotePrefix="0" xfId="0">
      <alignment horizontal="center" wrapText="1"/>
      <protection locked="0" hidden="0"/>
    </xf>
    <xf numFmtId="0" fontId="35" fillId="0" borderId="57" applyAlignment="1" applyProtection="1" pivotButton="0" quotePrefix="0" xfId="0">
      <alignment horizontal="center" vertical="center" wrapText="1"/>
      <protection locked="0" hidden="0"/>
    </xf>
    <xf numFmtId="0" fontId="40" fillId="0" borderId="0" applyAlignment="1" applyProtection="1" pivotButton="0" quotePrefix="0" xfId="0">
      <alignment horizontal="center" wrapText="1"/>
      <protection locked="0" hidden="0"/>
    </xf>
    <xf numFmtId="0" fontId="39" fillId="28" borderId="56" applyAlignment="1" applyProtection="1" pivotButton="0" quotePrefix="0" xfId="0">
      <alignment horizontal="center" vertical="center" wrapText="1"/>
      <protection locked="0" hidden="0"/>
    </xf>
    <xf numFmtId="0" fontId="36" fillId="28" borderId="59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39" fillId="28" borderId="48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horizontal="center" wrapText="1"/>
      <protection locked="0" hidden="0"/>
    </xf>
    <xf numFmtId="0" fontId="57" fillId="0" borderId="59" applyAlignment="1" applyProtection="1" pivotButton="0" quotePrefix="0" xfId="0">
      <alignment horizontal="left" wrapText="1"/>
      <protection locked="0" hidden="0"/>
    </xf>
    <xf numFmtId="0" fontId="57" fillId="0" borderId="59" applyAlignment="1" applyProtection="1" pivotButton="0" quotePrefix="0" xfId="0">
      <alignment horizontal="center" wrapText="1"/>
      <protection locked="0" hidden="0"/>
    </xf>
    <xf numFmtId="0" fontId="37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37" fillId="0" borderId="0" applyAlignment="1" applyProtection="1" pivotButton="0" quotePrefix="0" xfId="0">
      <alignment wrapText="1"/>
      <protection locked="0" hidden="0"/>
    </xf>
    <xf numFmtId="0" fontId="49" fillId="0" borderId="0" applyAlignment="1" applyProtection="1" pivotButton="0" quotePrefix="0" xfId="0">
      <alignment wrapText="1"/>
      <protection locked="0" hidden="0"/>
    </xf>
    <xf numFmtId="0" fontId="35" fillId="0" borderId="0" applyAlignment="1" applyProtection="1" pivotButton="0" quotePrefix="0" xfId="0">
      <alignment vertical="center" wrapText="1"/>
      <protection locked="0" hidden="0"/>
    </xf>
    <xf numFmtId="0" fontId="40" fillId="0" borderId="0" applyAlignment="1" applyProtection="1" pivotButton="0" quotePrefix="0" xfId="0">
      <alignment vertical="center" wrapText="1"/>
      <protection locked="0" hidden="0"/>
    </xf>
    <xf numFmtId="167" fontId="55" fillId="0" borderId="24" applyAlignment="1" pivotButton="0" quotePrefix="0" xfId="0">
      <alignment horizontal="center" vertical="center" wrapText="1"/>
    </xf>
    <xf numFmtId="0" fontId="55" fillId="27" borderId="78" applyAlignment="1" applyProtection="1" pivotButton="0" quotePrefix="0" xfId="0">
      <alignment horizontal="center" vertical="center" wrapText="1"/>
      <protection locked="0" hidden="0"/>
    </xf>
    <xf numFmtId="0" fontId="37" fillId="0" borderId="0" applyAlignment="1" applyProtection="1" pivotButton="0" quotePrefix="0" xfId="0">
      <alignment vertical="center" wrapText="1"/>
      <protection locked="0" hidden="0"/>
    </xf>
    <xf numFmtId="0" fontId="36" fillId="0" borderId="64" applyAlignment="1" pivotButton="0" quotePrefix="0" xfId="0">
      <alignment horizontal="center" wrapText="1"/>
    </xf>
    <xf numFmtId="166" fontId="36" fillId="26" borderId="65" applyAlignment="1" applyProtection="1" pivotButton="0" quotePrefix="0" xfId="0">
      <alignment horizontal="center" wrapText="1"/>
      <protection locked="0" hidden="0"/>
    </xf>
    <xf numFmtId="0" fontId="38" fillId="0" borderId="0" applyAlignment="1" applyProtection="1" pivotButton="0" quotePrefix="0" xfId="0">
      <alignment horizontal="center" vertical="center" wrapText="1"/>
      <protection locked="0" hidden="0"/>
    </xf>
    <xf numFmtId="0" fontId="38" fillId="0" borderId="0" applyAlignment="1" pivotButton="0" quotePrefix="0" xfId="0">
      <alignment horizontal="center" vertical="center" wrapText="1"/>
    </xf>
    <xf numFmtId="0" fontId="48" fillId="0" borderId="46" applyAlignment="1" pivotButton="0" quotePrefix="0" xfId="0">
      <alignment horizontal="center" vertical="center" wrapText="1"/>
    </xf>
    <xf numFmtId="0" fontId="48" fillId="26" borderId="11" applyAlignment="1" pivotButton="0" quotePrefix="0" xfId="0">
      <alignment horizontal="center" vertical="center" wrapText="1"/>
    </xf>
    <xf numFmtId="0" fontId="48" fillId="0" borderId="31" applyAlignment="1" pivotButton="0" quotePrefix="0" xfId="0">
      <alignment horizontal="center" vertical="center" wrapText="1"/>
    </xf>
    <xf numFmtId="0" fontId="48" fillId="26" borderId="77" applyAlignment="1" pivotButton="0" quotePrefix="0" xfId="0">
      <alignment horizontal="center" vertical="center" wrapText="1"/>
    </xf>
    <xf numFmtId="0" fontId="48" fillId="0" borderId="18" applyAlignment="1" pivotButton="0" quotePrefix="0" xfId="0">
      <alignment horizontal="center" vertical="center" wrapText="1"/>
    </xf>
    <xf numFmtId="0" fontId="48" fillId="0" borderId="11" applyAlignment="1" pivotButton="0" quotePrefix="0" xfId="0">
      <alignment horizontal="center" vertical="center" wrapText="1"/>
    </xf>
    <xf numFmtId="0" fontId="48" fillId="0" borderId="25" applyAlignment="1" pivotButton="0" quotePrefix="0" xfId="0">
      <alignment horizontal="center" vertical="center" wrapText="1"/>
    </xf>
    <xf numFmtId="168" fontId="48" fillId="0" borderId="20" applyAlignment="1" pivotButton="0" quotePrefix="0" xfId="0">
      <alignment horizontal="center" vertical="center" wrapText="1"/>
    </xf>
    <xf numFmtId="49" fontId="41" fillId="0" borderId="16" applyAlignment="1" pivotButton="0" quotePrefix="0" xfId="0">
      <alignment horizontal="center" vertical="center" wrapText="1"/>
    </xf>
    <xf numFmtId="49" fontId="41" fillId="2" borderId="16" applyAlignment="1" pivotButton="0" quotePrefix="0" xfId="0">
      <alignment horizontal="center" vertical="center" wrapText="1"/>
    </xf>
    <xf numFmtId="49" fontId="48" fillId="0" borderId="16" applyAlignment="1" pivotButton="0" quotePrefix="0" xfId="0">
      <alignment horizontal="center" vertical="center" wrapText="1"/>
    </xf>
    <xf numFmtId="49" fontId="48" fillId="2" borderId="16" applyAlignment="1" pivotButton="0" quotePrefix="0" xfId="0">
      <alignment horizontal="center" vertical="center" wrapText="1"/>
    </xf>
    <xf numFmtId="168" fontId="48" fillId="0" borderId="11" applyAlignment="1" pivotButton="0" quotePrefix="0" xfId="0">
      <alignment horizontal="center" vertical="center" wrapText="1"/>
    </xf>
    <xf numFmtId="168" fontId="48" fillId="0" borderId="25" applyAlignment="1" pivotButton="0" quotePrefix="0" xfId="0">
      <alignment horizontal="center" vertical="center" wrapText="1"/>
    </xf>
    <xf numFmtId="0" fontId="48" fillId="0" borderId="70" applyAlignment="1" pivotButton="0" quotePrefix="0" xfId="0">
      <alignment horizontal="center" vertical="center" wrapText="1"/>
    </xf>
    <xf numFmtId="0" fontId="48" fillId="0" borderId="63" applyAlignment="1" pivotButton="0" quotePrefix="0" xfId="0">
      <alignment horizontal="center" vertical="center" wrapText="1"/>
    </xf>
    <xf numFmtId="168" fontId="48" fillId="0" borderId="0" applyAlignment="1" pivotButton="0" quotePrefix="0" xfId="0">
      <alignment horizontal="center" vertical="center" wrapText="1"/>
    </xf>
    <xf numFmtId="49" fontId="48" fillId="0" borderId="22" applyAlignment="1" pivotButton="0" quotePrefix="0" xfId="0">
      <alignment horizontal="center" vertical="center" wrapText="1"/>
    </xf>
    <xf numFmtId="167" fontId="41" fillId="0" borderId="72" applyAlignment="1" applyProtection="1" pivotButton="0" quotePrefix="0" xfId="0">
      <alignment horizontal="center" vertical="center" wrapText="1"/>
      <protection locked="0" hidden="0"/>
    </xf>
    <xf numFmtId="0" fontId="62" fillId="0" borderId="79" applyAlignment="1" applyProtection="1" pivotButton="0" quotePrefix="0" xfId="528">
      <alignment horizontal="center" vertical="center"/>
      <protection locked="0" hidden="0"/>
    </xf>
    <xf numFmtId="167" fontId="41" fillId="2" borderId="72" applyAlignment="1" applyProtection="1" pivotButton="0" quotePrefix="0" xfId="0">
      <alignment horizontal="center" vertical="center" wrapText="1"/>
      <protection locked="0" hidden="0"/>
    </xf>
    <xf numFmtId="0" fontId="35" fillId="27" borderId="38" applyAlignment="1" applyProtection="1" pivotButton="0" quotePrefix="0" xfId="0">
      <alignment horizontal="right" vertical="center" wrapText="1" indent="1"/>
      <protection locked="0" hidden="0"/>
    </xf>
    <xf numFmtId="0" fontId="35" fillId="27" borderId="11" applyAlignment="1" applyProtection="1" pivotButton="0" quotePrefix="0" xfId="0">
      <alignment horizontal="right" vertical="center" wrapText="1" indent="1"/>
      <protection locked="0" hidden="0"/>
    </xf>
    <xf numFmtId="0" fontId="35" fillId="27" borderId="49" applyAlignment="1" applyProtection="1" pivotButton="0" quotePrefix="0" xfId="0">
      <alignment horizontal="right" vertical="center" wrapText="1" indent="1"/>
      <protection locked="0" hidden="0"/>
    </xf>
    <xf numFmtId="0" fontId="35" fillId="27" borderId="34" applyAlignment="1" applyProtection="1" pivotButton="0" quotePrefix="0" xfId="0">
      <alignment horizontal="right" vertical="center" wrapText="1" indent="1"/>
      <protection locked="0" hidden="0"/>
    </xf>
    <xf numFmtId="43" fontId="44" fillId="0" borderId="11" applyAlignment="1" applyProtection="1" pivotButton="0" quotePrefix="0" xfId="400">
      <alignment horizontal="center" vertical="center" wrapText="1"/>
      <protection locked="0" hidden="0"/>
    </xf>
    <xf numFmtId="43" fontId="46" fillId="0" borderId="11" applyAlignment="1" pivotButton="0" quotePrefix="0" xfId="400">
      <alignment horizontal="center" vertical="center" wrapText="1"/>
    </xf>
    <xf numFmtId="0" fontId="43" fillId="0" borderId="31" applyAlignment="1" applyProtection="1" pivotButton="0" quotePrefix="0" xfId="400">
      <alignment horizontal="right" vertical="center" wrapText="1" indent="1"/>
      <protection locked="0" hidden="0"/>
    </xf>
    <xf numFmtId="0" fontId="43" fillId="0" borderId="0" applyAlignment="1" applyProtection="1" pivotButton="0" quotePrefix="0" xfId="400">
      <alignment horizontal="right" vertical="center" wrapText="1" indent="1"/>
      <protection locked="0" hidden="0"/>
    </xf>
    <xf numFmtId="43" fontId="43" fillId="0" borderId="0" applyAlignment="1" applyProtection="1" pivotButton="0" quotePrefix="0" xfId="647">
      <alignment horizontal="center" vertical="center" wrapText="1"/>
      <protection locked="0" hidden="0"/>
    </xf>
    <xf numFmtId="43" fontId="43" fillId="0" borderId="20" applyAlignment="1" applyProtection="1" pivotButton="0" quotePrefix="0" xfId="647">
      <alignment horizontal="center" vertical="center" wrapText="1"/>
      <protection locked="0" hidden="0"/>
    </xf>
    <xf numFmtId="43" fontId="43" fillId="0" borderId="18" applyAlignment="1" applyProtection="1" pivotButton="0" quotePrefix="0" xfId="647">
      <alignment horizontal="center" vertical="center" wrapText="1"/>
      <protection locked="0" hidden="0"/>
    </xf>
    <xf numFmtId="49" fontId="48" fillId="0" borderId="19" applyAlignment="1" applyProtection="1" pivotButton="0" quotePrefix="0" xfId="0">
      <alignment horizontal="center" vertical="center" wrapText="1"/>
      <protection locked="0" hidden="0"/>
    </xf>
    <xf numFmtId="49" fontId="48" fillId="0" borderId="11" applyAlignment="1" applyProtection="1" pivotButton="0" quotePrefix="0" xfId="0">
      <alignment horizontal="center" vertical="center" wrapText="1"/>
      <protection locked="0" hidden="0"/>
    </xf>
    <xf numFmtId="49" fontId="48" fillId="0" borderId="58" applyAlignment="1" applyProtection="1" pivotButton="0" quotePrefix="0" xfId="0">
      <alignment horizontal="center" vertical="center" wrapText="1"/>
      <protection locked="0" hidden="0"/>
    </xf>
    <xf numFmtId="49" fontId="48" fillId="0" borderId="34" applyAlignment="1" applyProtection="1" pivotButton="0" quotePrefix="0" xfId="0">
      <alignment horizontal="center" vertical="center" wrapText="1"/>
      <protection locked="0" hidden="0"/>
    </xf>
    <xf numFmtId="43" fontId="44" fillId="0" borderId="39" applyAlignment="1" applyProtection="1" pivotButton="0" quotePrefix="0" xfId="400">
      <alignment horizontal="center" vertical="center" wrapText="1"/>
      <protection locked="0" hidden="0"/>
    </xf>
    <xf numFmtId="166" fontId="48" fillId="0" borderId="39" applyAlignment="1" applyProtection="1" pivotButton="0" quotePrefix="0" xfId="0">
      <alignment horizontal="center" vertical="center" wrapText="1"/>
      <protection locked="0" hidden="0"/>
    </xf>
    <xf numFmtId="166" fontId="48" fillId="0" borderId="50" applyAlignment="1" applyProtection="1" pivotButton="0" quotePrefix="0" xfId="0">
      <alignment horizontal="center" vertical="center" wrapText="1"/>
      <protection locked="0" hidden="0"/>
    </xf>
    <xf numFmtId="0" fontId="36" fillId="27" borderId="17" applyAlignment="1" applyProtection="1" pivotButton="0" quotePrefix="0" xfId="0">
      <alignment horizontal="center" wrapText="1"/>
      <protection locked="0" hidden="0"/>
    </xf>
    <xf numFmtId="0" fontId="36" fillId="27" borderId="19" applyAlignment="1" applyProtection="1" pivotButton="0" quotePrefix="0" xfId="0">
      <alignment horizontal="center" wrapText="1"/>
      <protection locked="0" hidden="0"/>
    </xf>
    <xf numFmtId="0" fontId="51" fillId="0" borderId="35" applyAlignment="1" applyProtection="1" pivotButton="0" quotePrefix="0" xfId="0">
      <alignment horizontal="center" vertical="center" wrapText="1"/>
      <protection locked="0" hidden="0"/>
    </xf>
    <xf numFmtId="0" fontId="51" fillId="0" borderId="36" applyAlignment="1" applyProtection="1" pivotButton="0" quotePrefix="0" xfId="0">
      <alignment horizontal="center" vertical="center" wrapText="1"/>
      <protection locked="0" hidden="0"/>
    </xf>
    <xf numFmtId="0" fontId="50" fillId="0" borderId="31" applyAlignment="1" applyProtection="1" pivotButton="0" quotePrefix="0" xfId="0">
      <alignment horizontal="center" vertical="center" wrapText="1"/>
      <protection locked="0" hidden="0"/>
    </xf>
    <xf numFmtId="0" fontId="50" fillId="0" borderId="0" applyAlignment="1" applyProtection="1" pivotButton="0" quotePrefix="0" xfId="0">
      <alignment horizontal="center" vertical="center" wrapText="1"/>
      <protection locked="0" hidden="0"/>
    </xf>
    <xf numFmtId="0" fontId="53" fillId="0" borderId="36" applyAlignment="1" applyProtection="1" pivotButton="0" quotePrefix="0" xfId="0">
      <alignment horizontal="center" wrapText="1"/>
      <protection locked="0" hidden="0"/>
    </xf>
    <xf numFmtId="0" fontId="53" fillId="0" borderId="0" applyAlignment="1" applyProtection="1" pivotButton="0" quotePrefix="0" xfId="0">
      <alignment horizontal="center" wrapText="1"/>
      <protection locked="0" hidden="0"/>
    </xf>
    <xf numFmtId="0" fontId="41" fillId="0" borderId="0" applyAlignment="1" applyProtection="1" pivotButton="0" quotePrefix="0" xfId="0">
      <alignment horizontal="center" vertical="top" wrapText="1"/>
      <protection locked="0" hidden="0"/>
    </xf>
    <xf numFmtId="0" fontId="55" fillId="28" borderId="47" applyAlignment="1" applyProtection="1" pivotButton="0" quotePrefix="0" xfId="0">
      <alignment horizontal="center" vertical="center" wrapText="1"/>
      <protection locked="0" hidden="0"/>
    </xf>
    <xf numFmtId="0" fontId="55" fillId="28" borderId="48" applyAlignment="1" applyProtection="1" pivotButton="0" quotePrefix="0" xfId="0">
      <alignment horizontal="center" vertical="center" wrapText="1"/>
      <protection locked="0" hidden="0"/>
    </xf>
    <xf numFmtId="0" fontId="55" fillId="28" borderId="55" applyAlignment="1" applyProtection="1" pivotButton="0" quotePrefix="0" xfId="0">
      <alignment horizontal="center" vertical="center" wrapText="1"/>
      <protection locked="0" hidden="0"/>
    </xf>
    <xf numFmtId="0" fontId="39" fillId="28" borderId="48" applyAlignment="1" applyProtection="1" pivotButton="0" quotePrefix="0" xfId="0">
      <alignment horizontal="center" vertical="center" wrapText="1"/>
      <protection locked="0" hidden="0"/>
    </xf>
    <xf numFmtId="0" fontId="39" fillId="27" borderId="44" applyAlignment="1" pivotButton="0" quotePrefix="0" xfId="0">
      <alignment horizontal="center" wrapText="1"/>
    </xf>
    <xf numFmtId="0" fontId="39" fillId="27" borderId="70" applyAlignment="1" pivotButton="0" quotePrefix="0" xfId="0">
      <alignment horizontal="center" wrapText="1"/>
    </xf>
    <xf numFmtId="0" fontId="39" fillId="27" borderId="41" applyAlignment="1" pivotButton="0" quotePrefix="0" xfId="0">
      <alignment horizontal="center" wrapText="1"/>
    </xf>
    <xf numFmtId="0" fontId="37" fillId="27" borderId="46" applyAlignment="1" pivotButton="0" quotePrefix="0" xfId="0">
      <alignment horizontal="center" vertical="top" wrapText="1"/>
    </xf>
    <xf numFmtId="0" fontId="37" fillId="27" borderId="20" applyAlignment="1" pivotButton="0" quotePrefix="0" xfId="0">
      <alignment horizontal="center" vertical="top" wrapText="1"/>
    </xf>
    <xf numFmtId="0" fontId="37" fillId="27" borderId="65" applyAlignment="1" pivotButton="0" quotePrefix="0" xfId="0">
      <alignment horizontal="center" vertical="top" wrapText="1"/>
    </xf>
    <xf numFmtId="0" fontId="35" fillId="0" borderId="52" applyAlignment="1" applyProtection="1" pivotButton="0" quotePrefix="0" xfId="0">
      <alignment horizontal="left" wrapText="1"/>
      <protection locked="0" hidden="0"/>
    </xf>
    <xf numFmtId="0" fontId="35" fillId="0" borderId="20" applyAlignment="1" applyProtection="1" pivotButton="0" quotePrefix="0" xfId="0">
      <alignment horizontal="left" wrapText="1"/>
      <protection locked="0" hidden="0"/>
    </xf>
    <xf numFmtId="49" fontId="48" fillId="0" borderId="44" applyAlignment="1" applyProtection="1" pivotButton="0" quotePrefix="0" xfId="0">
      <alignment horizontal="center" vertical="center" wrapText="1"/>
      <protection locked="0" hidden="0"/>
    </xf>
    <xf numFmtId="0" fontId="48" fillId="0" borderId="26" applyAlignment="1" applyProtection="1" pivotButton="0" quotePrefix="0" xfId="0">
      <alignment horizontal="center" vertical="center" wrapText="1"/>
      <protection locked="0" hidden="0"/>
    </xf>
    <xf numFmtId="0" fontId="48" fillId="0" borderId="30" applyAlignment="1" applyProtection="1" pivotButton="0" quotePrefix="0" xfId="0">
      <alignment horizontal="center" vertical="center" wrapText="1"/>
      <protection locked="0" hidden="0"/>
    </xf>
    <xf numFmtId="0" fontId="48" fillId="0" borderId="46" applyAlignment="1" applyProtection="1" pivotButton="0" quotePrefix="0" xfId="0">
      <alignment horizontal="center" vertical="center" wrapText="1"/>
      <protection locked="0" hidden="0"/>
    </xf>
    <xf numFmtId="0" fontId="48" fillId="0" borderId="20" applyAlignment="1" applyProtection="1" pivotButton="0" quotePrefix="0" xfId="0">
      <alignment horizontal="center" vertical="center" wrapText="1"/>
      <protection locked="0" hidden="0"/>
    </xf>
    <xf numFmtId="0" fontId="48" fillId="0" borderId="21" applyAlignment="1" applyProtection="1" pivotButton="0" quotePrefix="0" xfId="0">
      <alignment horizontal="center" vertical="center" wrapText="1"/>
      <protection locked="0" hidden="0"/>
    </xf>
    <xf numFmtId="0" fontId="36" fillId="28" borderId="54" applyAlignment="1" applyProtection="1" pivotButton="0" quotePrefix="0" xfId="0">
      <alignment horizontal="center" vertical="center" wrapText="1"/>
      <protection locked="0" hidden="0"/>
    </xf>
    <xf numFmtId="0" fontId="36" fillId="28" borderId="63" applyAlignment="1" applyProtection="1" pivotButton="0" quotePrefix="0" xfId="0">
      <alignment horizontal="center" vertical="center" wrapText="1"/>
      <protection locked="0" hidden="0"/>
    </xf>
    <xf numFmtId="43" fontId="46" fillId="0" borderId="39" applyAlignment="1" pivotButton="0" quotePrefix="0" xfId="400">
      <alignment horizontal="center" vertical="center" wrapText="1"/>
    </xf>
    <xf numFmtId="0" fontId="39" fillId="28" borderId="43" applyAlignment="1" applyProtection="1" pivotButton="0" quotePrefix="0" xfId="0">
      <alignment horizontal="center" vertical="center" wrapText="1"/>
      <protection locked="0" hidden="0"/>
    </xf>
    <xf numFmtId="0" fontId="55" fillId="0" borderId="22" applyAlignment="1" pivotButton="0" quotePrefix="0" xfId="0">
      <alignment horizontal="left" vertical="center" wrapText="1"/>
    </xf>
    <xf numFmtId="0" fontId="55" fillId="0" borderId="23" applyAlignment="1" pivotButton="0" quotePrefix="0" xfId="0">
      <alignment horizontal="left" vertical="center" wrapText="1"/>
    </xf>
    <xf numFmtId="0" fontId="55" fillId="0" borderId="33" applyAlignment="1" pivotButton="0" quotePrefix="0" xfId="0">
      <alignment horizontal="left" vertical="center" wrapText="1"/>
    </xf>
    <xf numFmtId="0" fontId="55" fillId="0" borderId="40" applyAlignment="1" pivotButton="0" quotePrefix="0" xfId="0">
      <alignment horizontal="left" vertical="center" wrapText="1"/>
    </xf>
    <xf numFmtId="0" fontId="35" fillId="0" borderId="0" applyAlignment="1" applyProtection="1" pivotButton="0" quotePrefix="0" xfId="0">
      <alignment horizontal="right" vertical="center" wrapText="1" indent="1"/>
      <protection locked="0" hidden="0"/>
    </xf>
    <xf numFmtId="0" fontId="47" fillId="27" borderId="55" applyAlignment="1" applyProtection="1" pivotButton="0" quotePrefix="0" xfId="0">
      <alignment horizontal="center" vertical="center" textRotation="90" shrinkToFit="1"/>
      <protection locked="0" hidden="0"/>
    </xf>
    <xf numFmtId="0" fontId="39" fillId="27" borderId="17" applyAlignment="1" applyProtection="1" pivotButton="0" quotePrefix="0" xfId="0">
      <alignment horizontal="center" vertical="center" textRotation="90" shrinkToFit="1"/>
      <protection locked="0" hidden="0"/>
    </xf>
    <xf numFmtId="49" fontId="42" fillId="0" borderId="0" applyAlignment="1" applyProtection="1" pivotButton="0" quotePrefix="0" xfId="0">
      <alignment horizontal="left" vertical="center" wrapText="1" indent="1"/>
      <protection locked="0" hidden="0"/>
    </xf>
    <xf numFmtId="49" fontId="42" fillId="0" borderId="37" applyAlignment="1" applyProtection="1" pivotButton="0" quotePrefix="0" xfId="0">
      <alignment horizontal="left" vertical="center" wrapText="1" indent="1"/>
      <protection locked="0" hidden="0"/>
    </xf>
    <xf numFmtId="0" fontId="60" fillId="26" borderId="0" applyAlignment="1" applyProtection="1" pivotButton="0" quotePrefix="0" xfId="0">
      <alignment horizontal="center" vertical="center" wrapText="1"/>
      <protection locked="0" hidden="0"/>
    </xf>
    <xf numFmtId="0" fontId="60" fillId="26" borderId="37" applyAlignment="1" applyProtection="1" pivotButton="0" quotePrefix="0" xfId="0">
      <alignment horizontal="center" vertical="center" wrapText="1"/>
      <protection locked="0" hidden="0"/>
    </xf>
    <xf numFmtId="166" fontId="35" fillId="0" borderId="42" applyAlignment="1" applyProtection="1" pivotButton="0" quotePrefix="0" xfId="0">
      <alignment horizontal="center" vertical="center" wrapText="1"/>
      <protection locked="0" hidden="0"/>
    </xf>
    <xf numFmtId="166" fontId="35" fillId="0" borderId="39" applyAlignment="1" applyProtection="1" pivotButton="0" quotePrefix="0" xfId="0">
      <alignment horizontal="center" vertical="center" wrapText="1"/>
      <protection locked="0" hidden="0"/>
    </xf>
    <xf numFmtId="168" fontId="55" fillId="0" borderId="27" applyAlignment="1" pivotButton="0" quotePrefix="0" xfId="0">
      <alignment horizontal="center" vertical="center" wrapText="1"/>
    </xf>
    <xf numFmtId="168" fontId="55" fillId="0" borderId="28" applyAlignment="1" pivotButton="0" quotePrefix="0" xfId="0">
      <alignment horizontal="center" vertical="center" wrapText="1"/>
    </xf>
    <xf numFmtId="0" fontId="55" fillId="27" borderId="15" applyAlignment="1" applyProtection="1" pivotButton="0" quotePrefix="0" xfId="0">
      <alignment horizontal="right" vertical="center" wrapText="1" indent="1"/>
      <protection locked="0" hidden="0"/>
    </xf>
    <xf numFmtId="0" fontId="55" fillId="27" borderId="76" applyAlignment="1" applyProtection="1" pivotButton="0" quotePrefix="0" xfId="0">
      <alignment horizontal="right" vertical="center" wrapText="1" indent="1"/>
      <protection locked="0" hidden="0"/>
    </xf>
    <xf numFmtId="0" fontId="55" fillId="27" borderId="78" applyAlignment="1" applyProtection="1" pivotButton="0" quotePrefix="0" xfId="0">
      <alignment horizontal="right" vertical="center" wrapText="1" indent="1"/>
      <protection locked="0" hidden="0"/>
    </xf>
    <xf numFmtId="0" fontId="55" fillId="27" borderId="32" applyAlignment="1" applyProtection="1" pivotButton="0" quotePrefix="0" xfId="0">
      <alignment horizontal="center" vertical="center" wrapText="1"/>
      <protection locked="0" hidden="0"/>
    </xf>
    <xf numFmtId="0" fontId="55" fillId="27" borderId="75" applyAlignment="1" applyProtection="1" pivotButton="0" quotePrefix="0" xfId="0">
      <alignment horizontal="center" vertical="center" wrapText="1"/>
      <protection locked="0" hidden="0"/>
    </xf>
    <xf numFmtId="0" fontId="57" fillId="27" borderId="48" applyAlignment="1" applyProtection="1" pivotButton="0" quotePrefix="0" xfId="0">
      <alignment horizontal="center" vertical="center" wrapText="1"/>
      <protection locked="0" hidden="0"/>
    </xf>
    <xf numFmtId="0" fontId="57" fillId="27" borderId="11" applyAlignment="1" applyProtection="1" pivotButton="0" quotePrefix="0" xfId="0">
      <alignment horizontal="center" vertical="center" wrapText="1"/>
      <protection locked="0" hidden="0"/>
    </xf>
    <xf numFmtId="166" fontId="35" fillId="0" borderId="45" applyAlignment="1" applyProtection="1" pivotButton="0" quotePrefix="0" xfId="0">
      <alignment horizontal="center" vertical="center" wrapText="1"/>
      <protection locked="0" hidden="0"/>
    </xf>
    <xf numFmtId="49" fontId="35" fillId="0" borderId="70" applyAlignment="1" applyProtection="1" pivotButton="0" quotePrefix="0" xfId="0">
      <alignment horizontal="center" vertical="center" wrapText="1"/>
      <protection locked="0" hidden="0"/>
    </xf>
    <xf numFmtId="49" fontId="35" fillId="0" borderId="69" applyAlignment="1" applyProtection="1" pivotButton="0" quotePrefix="0" xfId="0">
      <alignment horizontal="center" vertical="center" wrapText="1"/>
      <protection locked="0" hidden="0"/>
    </xf>
    <xf numFmtId="49" fontId="35" fillId="0" borderId="20" applyAlignment="1" applyProtection="1" pivotButton="0" quotePrefix="0" xfId="0">
      <alignment horizontal="center" vertical="center" wrapText="1"/>
      <protection locked="0" hidden="0"/>
    </xf>
    <xf numFmtId="49" fontId="35" fillId="0" borderId="21" applyAlignment="1" applyProtection="1" pivotButton="0" quotePrefix="0" xfId="0">
      <alignment horizontal="center" vertical="center" wrapText="1"/>
      <protection locked="0" hidden="0"/>
    </xf>
    <xf numFmtId="49" fontId="35" fillId="0" borderId="0" applyAlignment="1" applyProtection="1" pivotButton="0" quotePrefix="0" xfId="0">
      <alignment horizontal="center" vertical="center" wrapText="1"/>
      <protection locked="0" hidden="0"/>
    </xf>
    <xf numFmtId="49" fontId="35" fillId="0" borderId="23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35" fillId="0" borderId="0" applyAlignment="1" applyProtection="1" pivotButton="0" quotePrefix="0" xfId="0">
      <alignment horizontal="center" vertical="center" wrapText="1"/>
      <protection locked="0" hidden="0"/>
    </xf>
    <xf numFmtId="0" fontId="35" fillId="0" borderId="23" applyAlignment="1" applyProtection="1" pivotButton="0" quotePrefix="0" xfId="0">
      <alignment horizontal="center" vertical="center" wrapText="1"/>
      <protection locked="0" hidden="0"/>
    </xf>
    <xf numFmtId="0" fontId="35" fillId="0" borderId="16" applyAlignment="1" applyProtection="1" pivotButton="0" quotePrefix="0" xfId="0">
      <alignment horizontal="center" vertical="center" wrapText="1"/>
      <protection locked="0" hidden="0"/>
    </xf>
    <xf numFmtId="0" fontId="35" fillId="0" borderId="20" applyAlignment="1" applyProtection="1" pivotButton="0" quotePrefix="0" xfId="0">
      <alignment horizontal="center" vertical="center" wrapText="1"/>
      <protection locked="0" hidden="0"/>
    </xf>
    <xf numFmtId="0" fontId="35" fillId="0" borderId="21" applyAlignment="1" applyProtection="1" pivotButton="0" quotePrefix="0" xfId="0">
      <alignment horizontal="center" vertical="center" wrapText="1"/>
      <protection locked="0" hidden="0"/>
    </xf>
    <xf numFmtId="168" fontId="41" fillId="0" borderId="60" applyAlignment="1" pivotButton="0" quotePrefix="0" xfId="0">
      <alignment horizontal="center" vertical="center" wrapText="1"/>
    </xf>
    <xf numFmtId="168" fontId="41" fillId="0" borderId="61" applyAlignment="1" pivotButton="0" quotePrefix="0" xfId="0">
      <alignment horizontal="center" vertical="center" wrapText="1"/>
    </xf>
    <xf numFmtId="0" fontId="55" fillId="27" borderId="74" applyAlignment="1" applyProtection="1" pivotButton="0" quotePrefix="0" xfId="0">
      <alignment horizontal="center" vertical="center" wrapText="1"/>
      <protection locked="0" hidden="0"/>
    </xf>
    <xf numFmtId="0" fontId="35" fillId="0" borderId="71" applyAlignment="1" applyProtection="1" pivotButton="0" quotePrefix="0" xfId="0">
      <alignment horizontal="center" vertical="center" wrapText="1"/>
      <protection locked="0" hidden="0"/>
    </xf>
    <xf numFmtId="0" fontId="35" fillId="0" borderId="70" applyAlignment="1" applyProtection="1" pivotButton="0" quotePrefix="0" xfId="0">
      <alignment horizontal="center" vertical="center" wrapText="1"/>
      <protection locked="0" hidden="0"/>
    </xf>
    <xf numFmtId="0" fontId="35" fillId="0" borderId="69" applyAlignment="1" applyProtection="1" pivotButton="0" quotePrefix="0" xfId="0">
      <alignment horizontal="center" vertical="center" wrapText="1"/>
      <protection locked="0" hidden="0"/>
    </xf>
    <xf numFmtId="43" fontId="55" fillId="27" borderId="73" applyAlignment="1" applyProtection="1" pivotButton="0" quotePrefix="0" xfId="0">
      <alignment horizontal="center" vertical="center" wrapText="1"/>
      <protection locked="0" hidden="0"/>
    </xf>
    <xf numFmtId="43" fontId="55" fillId="27" borderId="79" applyAlignment="1" applyProtection="1" pivotButton="0" quotePrefix="0" xfId="0">
      <alignment horizontal="center" vertical="center" wrapText="1"/>
      <protection locked="0" hidden="0"/>
    </xf>
    <xf numFmtId="0" fontId="36" fillId="27" borderId="18" applyAlignment="1" applyProtection="1" pivotButton="0" quotePrefix="0" xfId="0">
      <alignment horizontal="center" wrapText="1"/>
      <protection locked="0" hidden="0"/>
    </xf>
    <xf numFmtId="43" fontId="55" fillId="27" borderId="47" applyAlignment="1" applyProtection="1" pivotButton="0" quotePrefix="0" xfId="0">
      <alignment horizontal="center" vertical="center" wrapText="1"/>
      <protection locked="0" hidden="0"/>
    </xf>
    <xf numFmtId="43" fontId="55" fillId="27" borderId="43" applyAlignment="1" applyProtection="1" pivotButton="0" quotePrefix="0" xfId="0">
      <alignment horizontal="center" vertical="center" wrapText="1"/>
      <protection locked="0" hidden="0"/>
    </xf>
    <xf numFmtId="43" fontId="55" fillId="27" borderId="38" applyAlignment="1" applyProtection="1" pivotButton="0" quotePrefix="0" xfId="0">
      <alignment horizontal="center" vertical="center" wrapText="1"/>
      <protection locked="0" hidden="0"/>
    </xf>
    <xf numFmtId="43" fontId="55" fillId="27" borderId="39" applyAlignment="1" applyProtection="1" pivotButton="0" quotePrefix="0" xfId="0">
      <alignment horizontal="center" vertical="center" wrapText="1"/>
      <protection locked="0" hidden="0"/>
    </xf>
    <xf numFmtId="165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right" vertical="center" wrapText="1"/>
    </xf>
    <xf numFmtId="0" fontId="39" fillId="0" borderId="59" applyAlignment="1" pivotButton="0" quotePrefix="0" xfId="0">
      <alignment horizontal="right" vertical="center" wrapText="1"/>
    </xf>
    <xf numFmtId="168" fontId="41" fillId="0" borderId="44" applyAlignment="1" pivotButton="0" quotePrefix="0" xfId="0">
      <alignment horizontal="center" vertical="center" wrapText="1"/>
    </xf>
    <xf numFmtId="168" fontId="41" fillId="0" borderId="41" applyAlignment="1" pivotButton="0" quotePrefix="0" xfId="0">
      <alignment horizontal="center" vertical="center" wrapText="1"/>
    </xf>
    <xf numFmtId="0" fontId="57" fillId="27" borderId="68" applyAlignment="1" applyProtection="1" pivotButton="0" quotePrefix="0" xfId="0">
      <alignment horizontal="center" vertical="center" wrapText="1"/>
      <protection locked="0" hidden="0"/>
    </xf>
    <xf numFmtId="0" fontId="57" fillId="27" borderId="16" applyAlignment="1" applyProtection="1" pivotButton="0" quotePrefix="0" xfId="0">
      <alignment horizontal="center" vertical="center" wrapText="1"/>
      <protection locked="0" hidden="0"/>
    </xf>
    <xf numFmtId="0" fontId="57" fillId="27" borderId="54" applyAlignment="1" applyProtection="1" pivotButton="0" quotePrefix="0" xfId="0">
      <alignment horizontal="center" vertical="center" wrapText="1"/>
      <protection locked="0" hidden="0"/>
    </xf>
    <xf numFmtId="0" fontId="57" fillId="27" borderId="25" applyAlignment="1" applyProtection="1" pivotButton="0" quotePrefix="0" xfId="0">
      <alignment horizontal="center" vertical="center" wrapText="1"/>
      <protection locked="0" hidden="0"/>
    </xf>
    <xf numFmtId="49" fontId="61" fillId="26" borderId="20" applyAlignment="1" applyProtection="1" pivotButton="0" quotePrefix="0" xfId="0">
      <alignment horizontal="left" vertical="center" indent="1"/>
      <protection locked="0" hidden="0"/>
    </xf>
    <xf numFmtId="169" fontId="59" fillId="0" borderId="18" applyAlignment="1" applyProtection="1" pivotButton="0" quotePrefix="0" xfId="0">
      <alignment horizontal="left" vertical="center" wrapText="1" indent="1"/>
      <protection locked="0" hidden="0"/>
    </xf>
    <xf numFmtId="49" fontId="54" fillId="0" borderId="18" applyAlignment="1" applyProtection="1" pivotButton="0" quotePrefix="0" xfId="652">
      <alignment horizontal="left" vertical="center" wrapText="1" indent="1"/>
      <protection locked="0" hidden="0"/>
    </xf>
    <xf numFmtId="49" fontId="49" fillId="0" borderId="18" applyAlignment="1" applyProtection="1" pivotButton="0" quotePrefix="0" xfId="0">
      <alignment horizontal="left" vertical="center" wrapText="1" indent="1"/>
      <protection locked="0" hidden="0"/>
    </xf>
    <xf numFmtId="0" fontId="36" fillId="27" borderId="38" applyAlignment="1" applyProtection="1" pivotButton="0" quotePrefix="0" xfId="0">
      <alignment horizontal="center" vertical="center" wrapText="1"/>
      <protection locked="0" hidden="0"/>
    </xf>
    <xf numFmtId="0" fontId="36" fillId="27" borderId="11" applyAlignment="1" applyProtection="1" pivotButton="0" quotePrefix="0" xfId="0">
      <alignment horizontal="center" vertical="center" wrapText="1"/>
      <protection locked="0" hidden="0"/>
    </xf>
    <xf numFmtId="0" fontId="55" fillId="28" borderId="43" applyAlignment="1" applyProtection="1" pivotButton="0" quotePrefix="0" xfId="0">
      <alignment horizontal="center" vertical="center" wrapText="1"/>
      <protection locked="0" hidden="0"/>
    </xf>
    <xf numFmtId="49" fontId="48" fillId="0" borderId="29" applyAlignment="1" applyProtection="1" pivotButton="0" quotePrefix="0" xfId="0">
      <alignment horizontal="center" vertical="center" wrapText="1"/>
      <protection locked="0" hidden="0"/>
    </xf>
    <xf numFmtId="49" fontId="48" fillId="0" borderId="26" applyAlignment="1" applyProtection="1" pivotButton="0" quotePrefix="0" xfId="0">
      <alignment horizontal="center" vertical="center" wrapText="1"/>
      <protection locked="0" hidden="0"/>
    </xf>
    <xf numFmtId="49" fontId="48" fillId="0" borderId="30" applyAlignment="1" applyProtection="1" pivotButton="0" quotePrefix="0" xfId="0">
      <alignment horizontal="center" vertical="center" wrapText="1"/>
      <protection locked="0" hidden="0"/>
    </xf>
    <xf numFmtId="49" fontId="48" fillId="0" borderId="16" applyAlignment="1" applyProtection="1" pivotButton="0" quotePrefix="0" xfId="0">
      <alignment horizontal="center" vertical="center" wrapText="1"/>
      <protection locked="0" hidden="0"/>
    </xf>
    <xf numFmtId="49" fontId="48" fillId="0" borderId="20" applyAlignment="1" applyProtection="1" pivotButton="0" quotePrefix="0" xfId="0">
      <alignment horizontal="center" vertical="center" wrapText="1"/>
      <protection locked="0" hidden="0"/>
    </xf>
    <xf numFmtId="49" fontId="48" fillId="0" borderId="21" applyAlignment="1" applyProtection="1" pivotButton="0" quotePrefix="0" xfId="0">
      <alignment horizontal="center" vertical="center" wrapText="1"/>
      <protection locked="0" hidden="0"/>
    </xf>
    <xf numFmtId="0" fontId="56" fillId="0" borderId="38" applyAlignment="1" applyProtection="1" pivotButton="0" quotePrefix="0" xfId="0">
      <alignment horizontal="left" vertical="center" wrapText="1" indent="1"/>
      <protection locked="0" hidden="0"/>
    </xf>
    <xf numFmtId="0" fontId="56" fillId="0" borderId="11" applyAlignment="1" applyProtection="1" pivotButton="0" quotePrefix="0" xfId="0">
      <alignment horizontal="left" vertical="center" wrapText="1" indent="1"/>
      <protection locked="0" hidden="0"/>
    </xf>
    <xf numFmtId="0" fontId="56" fillId="0" borderId="39" applyAlignment="1" applyProtection="1" pivotButton="0" quotePrefix="0" xfId="0">
      <alignment horizontal="left" vertical="center" wrapText="1" indent="1"/>
      <protection locked="0" hidden="0"/>
    </xf>
    <xf numFmtId="0" fontId="56" fillId="0" borderId="49" applyAlignment="1" applyProtection="1" pivotButton="0" quotePrefix="0" xfId="0">
      <alignment horizontal="left" vertical="center" wrapText="1" indent="1"/>
      <protection locked="0" hidden="0"/>
    </xf>
    <xf numFmtId="0" fontId="56" fillId="0" borderId="34" applyAlignment="1" applyProtection="1" pivotButton="0" quotePrefix="0" xfId="0">
      <alignment horizontal="left" vertical="center" wrapText="1" indent="1"/>
      <protection locked="0" hidden="0"/>
    </xf>
    <xf numFmtId="0" fontId="56" fillId="0" borderId="50" applyAlignment="1" applyProtection="1" pivotButton="0" quotePrefix="0" xfId="0">
      <alignment horizontal="left" vertical="center" wrapText="1" indent="1"/>
      <protection locked="0" hidden="0"/>
    </xf>
    <xf numFmtId="0" fontId="36" fillId="27" borderId="60" applyAlignment="1" applyProtection="1" pivotButton="0" quotePrefix="0" xfId="0">
      <alignment horizontal="center" vertical="center" wrapText="1"/>
      <protection locked="0" hidden="0"/>
    </xf>
    <xf numFmtId="0" fontId="36" fillId="27" borderId="18" applyAlignment="1" applyProtection="1" pivotButton="0" quotePrefix="0" xfId="0">
      <alignment horizontal="center" vertical="center" wrapText="1"/>
      <protection locked="0" hidden="0"/>
    </xf>
    <xf numFmtId="0" fontId="36" fillId="27" borderId="19" applyAlignment="1" applyProtection="1" pivotButton="0" quotePrefix="0" xfId="0">
      <alignment horizontal="center" vertical="center" wrapText="1"/>
      <protection locked="0" hidden="0"/>
    </xf>
    <xf numFmtId="0" fontId="36" fillId="27" borderId="17" applyAlignment="1" applyProtection="1" pivotButton="0" quotePrefix="0" xfId="0">
      <alignment horizontal="center" vertical="center" wrapText="1"/>
      <protection locked="0" hidden="0"/>
    </xf>
    <xf numFmtId="0" fontId="35" fillId="0" borderId="31" applyAlignment="1" applyProtection="1" pivotButton="0" quotePrefix="0" xfId="0">
      <alignment horizontal="right" vertical="center" wrapText="1" indent="1"/>
      <protection locked="0" hidden="0"/>
    </xf>
    <xf numFmtId="0" fontId="39" fillId="0" borderId="0" applyAlignment="1" applyProtection="1" pivotButton="0" quotePrefix="0" xfId="0">
      <alignment horizontal="right" vertical="center" wrapText="1"/>
      <protection locked="0" hidden="0"/>
    </xf>
    <xf numFmtId="0" fontId="57" fillId="27" borderId="54" applyAlignment="1" applyProtection="1" pivotButton="0" quotePrefix="0" xfId="0">
      <alignment horizontal="center" vertical="center" wrapText="1"/>
      <protection locked="0" hidden="0"/>
    </xf>
    <xf numFmtId="0" fontId="57" fillId="27" borderId="25" applyAlignment="1" applyProtection="1" pivotButton="0" quotePrefix="0" xfId="0">
      <alignment horizontal="center" vertical="center" wrapText="1"/>
      <protection locked="0" hidden="0"/>
    </xf>
    <xf numFmtId="0" fontId="48" fillId="0" borderId="11" applyAlignment="1" applyProtection="1" pivotButton="0" quotePrefix="0" xfId="0">
      <alignment horizontal="center" vertical="center" wrapText="1"/>
      <protection locked="0" hidden="0"/>
    </xf>
    <xf numFmtId="0" fontId="35" fillId="0" borderId="62" applyAlignment="1" applyProtection="1" pivotButton="0" quotePrefix="0" xfId="0">
      <alignment horizontal="right" vertical="center" wrapText="1" indent="1"/>
      <protection locked="0" hidden="0"/>
    </xf>
    <xf numFmtId="0" fontId="35" fillId="0" borderId="59" applyAlignment="1" applyProtection="1" pivotButton="0" quotePrefix="0" xfId="0">
      <alignment horizontal="right" vertical="center" wrapText="1" indent="1"/>
      <protection locked="0" hidden="0"/>
    </xf>
    <xf numFmtId="0" fontId="55" fillId="27" borderId="15" applyAlignment="1" applyProtection="1" pivotButton="0" quotePrefix="0" xfId="0">
      <alignment horizontal="center" vertical="center" wrapText="1"/>
      <protection locked="0" hidden="0"/>
    </xf>
    <xf numFmtId="0" fontId="55" fillId="27" borderId="76" applyAlignment="1" applyProtection="1" pivotButton="0" quotePrefix="0" xfId="0">
      <alignment horizontal="center" vertical="center" wrapText="1"/>
      <protection locked="0" hidden="0"/>
    </xf>
    <xf numFmtId="0" fontId="55" fillId="27" borderId="78" applyAlignment="1" applyProtection="1" pivotButton="0" quotePrefix="0" xfId="0">
      <alignment horizontal="center" vertical="center" wrapText="1"/>
      <protection locked="0" hidden="0"/>
    </xf>
    <xf numFmtId="0" fontId="39" fillId="27" borderId="31" applyAlignment="1" pivotButton="0" quotePrefix="0" xfId="0">
      <alignment horizontal="center" wrapText="1"/>
    </xf>
    <xf numFmtId="0" fontId="39" fillId="27" borderId="0" applyAlignment="1" pivotButton="0" quotePrefix="0" xfId="0">
      <alignment horizontal="center" wrapText="1"/>
    </xf>
    <xf numFmtId="0" fontId="39" fillId="27" borderId="37" applyAlignment="1" pivotButton="0" quotePrefix="0" xfId="0">
      <alignment horizontal="center" wrapText="1"/>
    </xf>
    <xf numFmtId="0" fontId="39" fillId="27" borderId="44" applyAlignment="1" pivotButton="0" quotePrefix="0" xfId="0">
      <alignment horizontal="center" vertical="top" wrapText="1"/>
    </xf>
    <xf numFmtId="0" fontId="39" fillId="27" borderId="70" applyAlignment="1" pivotButton="0" quotePrefix="0" xfId="0">
      <alignment horizontal="center" vertical="top" wrapText="1"/>
    </xf>
    <xf numFmtId="0" fontId="39" fillId="27" borderId="41" applyAlignment="1" pivotButton="0" quotePrefix="0" xfId="0">
      <alignment horizontal="center" vertical="top" wrapText="1"/>
    </xf>
    <xf numFmtId="0" fontId="57" fillId="27" borderId="35" applyAlignment="1" applyProtection="1" pivotButton="0" quotePrefix="0" xfId="0">
      <alignment horizontal="center" vertical="center" wrapText="1"/>
      <protection locked="0" hidden="0"/>
    </xf>
    <xf numFmtId="0" fontId="57" fillId="27" borderId="46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166" fontId="36" fillId="26" borderId="65" applyAlignment="1" applyProtection="1" pivotButton="0" quotePrefix="0" xfId="0">
      <alignment horizontal="center" wrapText="1"/>
      <protection locked="0" hidden="0"/>
    </xf>
    <xf numFmtId="0" fontId="0" fillId="0" borderId="37" applyProtection="1" pivotButton="0" quotePrefix="0" xfId="0">
      <protection locked="0" hidden="0"/>
    </xf>
    <xf numFmtId="169" fontId="59" fillId="0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59" applyProtection="1" pivotButton="0" quotePrefix="0" xfId="0">
      <protection locked="0" hidden="0"/>
    </xf>
    <xf numFmtId="164" fontId="40" fillId="0" borderId="59" applyAlignment="1" applyProtection="1" pivotButton="0" quotePrefix="0" xfId="0">
      <alignment horizontal="center" wrapText="1"/>
      <protection locked="0" hidden="0"/>
    </xf>
    <xf numFmtId="0" fontId="0" fillId="0" borderId="32" applyProtection="1" pivotButton="0" quotePrefix="0" xfId="0">
      <protection locked="0" hidden="0"/>
    </xf>
    <xf numFmtId="0" fontId="0" fillId="0" borderId="75" applyProtection="1" pivotButton="0" quotePrefix="0" xfId="0">
      <protection locked="0" hidden="0"/>
    </xf>
    <xf numFmtId="0" fontId="39" fillId="27" borderId="81" applyAlignment="1" pivotButton="0" quotePrefix="0" xfId="0">
      <alignment horizontal="center" wrapText="1"/>
    </xf>
    <xf numFmtId="0" fontId="0" fillId="0" borderId="37" pivotButton="0" quotePrefix="0" xfId="0"/>
    <xf numFmtId="0" fontId="0" fillId="0" borderId="23" applyProtection="1" pivotButton="0" quotePrefix="0" xfId="0">
      <protection locked="0" hidden="0"/>
    </xf>
    <xf numFmtId="0" fontId="35" fillId="0" borderId="25" applyAlignment="1" applyProtection="1" pivotButton="0" quotePrefix="0" xfId="0">
      <alignment horizontal="center" vertical="center" wrapText="1"/>
      <protection locked="0" hidden="0"/>
    </xf>
    <xf numFmtId="166" fontId="35" fillId="0" borderId="42" applyAlignment="1" applyProtection="1" pivotButton="0" quotePrefix="0" xfId="0">
      <alignment horizontal="center" vertical="center" wrapText="1"/>
      <protection locked="0" hidden="0"/>
    </xf>
    <xf numFmtId="0" fontId="37" fillId="27" borderId="72" applyAlignment="1" pivotButton="0" quotePrefix="0" xfId="0">
      <alignment horizontal="center" vertical="top" wrapText="1"/>
    </xf>
    <xf numFmtId="0" fontId="0" fillId="0" borderId="20" pivotButton="0" quotePrefix="0" xfId="0"/>
    <xf numFmtId="0" fontId="0" fillId="0" borderId="65" pivotButton="0" quotePrefix="0" xfId="0"/>
    <xf numFmtId="0" fontId="0" fillId="0" borderId="21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39" fillId="27" borderId="82" applyAlignment="1" pivotButton="0" quotePrefix="0" xfId="0">
      <alignment horizontal="center" vertical="top" wrapText="1"/>
    </xf>
    <xf numFmtId="0" fontId="0" fillId="0" borderId="70" pivotButton="0" quotePrefix="0" xfId="0"/>
    <xf numFmtId="0" fontId="0" fillId="0" borderId="41" pivotButton="0" quotePrefix="0" xfId="0"/>
    <xf numFmtId="49" fontId="35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69" applyProtection="1" pivotButton="0" quotePrefix="0" xfId="0"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0" fillId="0" borderId="70" applyProtection="1" pivotButton="0" quotePrefix="0" xfId="0">
      <protection locked="0" hidden="0"/>
    </xf>
    <xf numFmtId="166" fontId="35" fillId="0" borderId="39" applyAlignment="1" applyProtection="1" pivotButton="0" quotePrefix="0" xfId="0">
      <alignment horizontal="center" vertical="center" wrapText="1"/>
      <protection locked="0" hidden="0"/>
    </xf>
    <xf numFmtId="0" fontId="39" fillId="27" borderId="82" applyAlignment="1" pivotButton="0" quotePrefix="0" xfId="0">
      <alignment horizontal="center" wrapText="1"/>
    </xf>
    <xf numFmtId="0" fontId="35" fillId="0" borderId="77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166" fontId="35" fillId="0" borderId="66" applyAlignment="1" applyProtection="1" pivotButton="0" quotePrefix="0" xfId="0">
      <alignment horizontal="center" vertical="center" wrapText="1"/>
      <protection locked="0" hidden="0"/>
    </xf>
    <xf numFmtId="0" fontId="57" fillId="27" borderId="83" applyAlignment="1" applyProtection="1" pivotButton="0" quotePrefix="0" xfId="0">
      <alignment horizontal="center" vertical="center" wrapText="1"/>
      <protection locked="0" hidden="0"/>
    </xf>
    <xf numFmtId="0" fontId="57" fillId="27" borderId="55" applyAlignment="1" applyProtection="1" pivotButton="0" quotePrefix="0" xfId="0">
      <alignment horizontal="center" vertical="center" wrapText="1"/>
      <protection locked="0" hidden="0"/>
    </xf>
    <xf numFmtId="0" fontId="0" fillId="0" borderId="80" applyProtection="1" pivotButton="0" quotePrefix="0" xfId="0">
      <protection locked="0" hidden="0"/>
    </xf>
    <xf numFmtId="0" fontId="0" fillId="0" borderId="46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72" applyProtection="1" pivotButton="0" quotePrefix="0" xfId="0">
      <protection locked="0" hidden="0"/>
    </xf>
    <xf numFmtId="168" fontId="48" fillId="0" borderId="20" applyAlignment="1" pivotButton="0" quotePrefix="0" xfId="0">
      <alignment horizontal="center" vertical="center" wrapText="1"/>
    </xf>
    <xf numFmtId="168" fontId="41" fillId="0" borderId="79" applyAlignment="1" pivotButton="0" quotePrefix="0" xfId="0">
      <alignment horizontal="center" vertical="center" wrapText="1"/>
    </xf>
    <xf numFmtId="0" fontId="0" fillId="0" borderId="61" pivotButton="0" quotePrefix="0" xfId="0"/>
    <xf numFmtId="167" fontId="41" fillId="0" borderId="72" applyAlignment="1" applyProtection="1" pivotButton="0" quotePrefix="0" xfId="0">
      <alignment horizontal="center" vertical="center" wrapText="1"/>
      <protection locked="0" hidden="0"/>
    </xf>
    <xf numFmtId="167" fontId="41" fillId="2" borderId="72" applyAlignment="1" applyProtection="1" pivotButton="0" quotePrefix="0" xfId="0">
      <alignment horizontal="center" vertical="center" wrapText="1"/>
      <protection locked="0" hidden="0"/>
    </xf>
    <xf numFmtId="168" fontId="48" fillId="0" borderId="11" applyAlignment="1" pivotButton="0" quotePrefix="0" xfId="0">
      <alignment horizontal="center" vertical="center" wrapText="1"/>
    </xf>
    <xf numFmtId="168" fontId="48" fillId="0" borderId="25" applyAlignment="1" pivotButton="0" quotePrefix="0" xfId="0">
      <alignment horizontal="center" vertical="center" wrapText="1"/>
    </xf>
    <xf numFmtId="168" fontId="48" fillId="0" borderId="0" applyAlignment="1" pivotButton="0" quotePrefix="0" xfId="0">
      <alignment horizontal="center" vertical="center" wrapText="1"/>
    </xf>
    <xf numFmtId="168" fontId="41" fillId="0" borderId="82" applyAlignment="1" pivotButton="0" quotePrefix="0" xfId="0">
      <alignment horizontal="center" vertical="center" wrapText="1"/>
    </xf>
    <xf numFmtId="168" fontId="55" fillId="0" borderId="24" applyAlignment="1" pivotButton="0" quotePrefix="0" xfId="0">
      <alignment horizontal="center" vertical="center" wrapText="1"/>
    </xf>
    <xf numFmtId="0" fontId="0" fillId="0" borderId="28" pivotButton="0" quotePrefix="0" xfId="0"/>
    <xf numFmtId="167" fontId="55" fillId="0" borderId="24" applyAlignment="1" pivotButton="0" quotePrefix="0" xfId="0">
      <alignment horizontal="center" vertical="center" wrapText="1"/>
    </xf>
    <xf numFmtId="0" fontId="55" fillId="0" borderId="51" applyAlignment="1" pivotButton="0" quotePrefix="0" xfId="0">
      <alignment horizontal="left" vertical="center" wrapText="1"/>
    </xf>
    <xf numFmtId="0" fontId="0" fillId="0" borderId="23" pivotButton="0" quotePrefix="0" xfId="0"/>
    <xf numFmtId="165" fontId="40" fillId="0" borderId="0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33" pivotButton="0" quotePrefix="0" xfId="0"/>
    <xf numFmtId="0" fontId="0" fillId="0" borderId="40" pivotButton="0" quotePrefix="0" xfId="0"/>
    <xf numFmtId="0" fontId="0" fillId="0" borderId="56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49" fontId="48" fillId="0" borderId="38" applyAlignment="1" applyProtection="1" pivotButton="0" quotePrefix="0" xfId="0">
      <alignment horizontal="center" vertical="center" wrapText="1"/>
      <protection locked="0" hidden="0"/>
    </xf>
    <xf numFmtId="166" fontId="48" fillId="0" borderId="39" applyAlignment="1" applyProtection="1" pivotButton="0" quotePrefix="0" xfId="0">
      <alignment horizontal="center" vertical="center" wrapText="1"/>
      <protection locked="0" hidden="0"/>
    </xf>
    <xf numFmtId="164" fontId="40" fillId="0" borderId="0" applyAlignment="1" applyProtection="1" pivotButton="0" quotePrefix="0" xfId="0">
      <alignment horizontal="center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0" fillId="0" borderId="19" pivotButton="0" quotePrefix="0" xfId="0"/>
    <xf numFmtId="165" fontId="43" fillId="0" borderId="59" applyAlignment="1" applyProtection="1" pivotButton="0" quotePrefix="0" xfId="647">
      <alignment horizontal="center" vertical="center" wrapText="1"/>
      <protection locked="0" hidden="0"/>
    </xf>
    <xf numFmtId="0" fontId="36" fillId="27" borderId="11" applyAlignment="1" applyProtection="1" pivotButton="0" quotePrefix="0" xfId="0">
      <alignment horizontal="center" wrapText="1"/>
      <protection locked="0" hidden="0"/>
    </xf>
  </cellXfs>
  <cellStyles count="659">
    <cellStyle name="Normal" xfId="0" builtinId="0"/>
    <cellStyle name="20% - Accent1 2" xfId="1"/>
    <cellStyle name="20% - Accent1 2 2" xfId="2"/>
    <cellStyle name="20% - Accent1 3" xfId="3"/>
    <cellStyle name="20% - Accent1 4" xfId="4"/>
    <cellStyle name="20% - Accent1 5" xfId="5"/>
    <cellStyle name="20% - Accent2 2" xfId="6"/>
    <cellStyle name="20% - Accent2 2 2" xfId="7"/>
    <cellStyle name="20% - Accent2 3" xfId="8"/>
    <cellStyle name="20% - Accent2 4" xfId="9"/>
    <cellStyle name="20% - Accent2 5" xfId="10"/>
    <cellStyle name="20% - Accent3 2" xfId="11"/>
    <cellStyle name="20% - Accent3 2 2" xfId="12"/>
    <cellStyle name="20% - Accent3 3" xfId="13"/>
    <cellStyle name="20% - Accent3 4" xfId="14"/>
    <cellStyle name="20% - Accent3 5" xfId="15"/>
    <cellStyle name="20% - Accent4 2" xfId="16"/>
    <cellStyle name="20% - Accent4 2 2" xfId="17"/>
    <cellStyle name="20% - Accent4 3" xfId="18"/>
    <cellStyle name="20% - Accent4 4" xfId="19"/>
    <cellStyle name="20% - Accent4 5" xfId="20"/>
    <cellStyle name="20% - Accent5 2" xfId="21"/>
    <cellStyle name="20% - Accent5 2 2" xfId="22"/>
    <cellStyle name="20% - Accent5 3" xfId="23"/>
    <cellStyle name="20% - Accent5 4" xfId="24"/>
    <cellStyle name="20% - Accent5 5" xfId="25"/>
    <cellStyle name="20% - Accent6 2" xfId="26"/>
    <cellStyle name="20% - Accent6 2 2" xfId="27"/>
    <cellStyle name="20% - Accent6 3" xfId="28"/>
    <cellStyle name="20% - Accent6 4" xfId="29"/>
    <cellStyle name="20% - Accent6 5" xfId="30"/>
    <cellStyle name="40% - Accent1 2" xfId="31"/>
    <cellStyle name="40% - Accent1 2 2" xfId="32"/>
    <cellStyle name="40% - Accent1 3" xfId="33"/>
    <cellStyle name="40% - Accent1 4" xfId="34"/>
    <cellStyle name="40% - Accent1 5" xfId="35"/>
    <cellStyle name="40% - Accent2 2" xfId="36"/>
    <cellStyle name="40% - Accent2 2 2" xfId="37"/>
    <cellStyle name="40% - Accent2 3" xfId="38"/>
    <cellStyle name="40% - Accent2 4" xfId="39"/>
    <cellStyle name="40% - Accent2 5" xfId="40"/>
    <cellStyle name="40% - Accent3 2" xfId="41"/>
    <cellStyle name="40% - Accent3 2 2" xfId="42"/>
    <cellStyle name="40% - Accent3 3" xfId="43"/>
    <cellStyle name="40% - Accent3 4" xfId="44"/>
    <cellStyle name="40% - Accent3 5" xfId="45"/>
    <cellStyle name="40% - Accent4 2" xfId="46"/>
    <cellStyle name="40% - Accent4 2 2" xfId="47"/>
    <cellStyle name="40% - Accent4 3" xfId="48"/>
    <cellStyle name="40% - Accent4 4" xfId="49"/>
    <cellStyle name="40% - Accent4 5" xfId="50"/>
    <cellStyle name="40% - Accent5 2" xfId="51"/>
    <cellStyle name="40% - Accent5 2 2" xfId="52"/>
    <cellStyle name="40% - Accent5 3" xfId="53"/>
    <cellStyle name="40% - Accent5 4" xfId="54"/>
    <cellStyle name="40% - Accent5 5" xfId="55"/>
    <cellStyle name="40% - Accent6 2" xfId="56"/>
    <cellStyle name="40% - Accent6 2 2" xfId="57"/>
    <cellStyle name="40% - Accent6 3" xfId="58"/>
    <cellStyle name="40% - Accent6 4" xfId="59"/>
    <cellStyle name="40% - Accent6 5" xfId="60"/>
    <cellStyle name="60% - Accent1 2" xfId="61"/>
    <cellStyle name="60% - Accent1 2 2" xfId="62"/>
    <cellStyle name="60% - Accent1 3" xfId="63"/>
    <cellStyle name="60% - Accent1 4" xfId="64"/>
    <cellStyle name="60% - Accent1 5" xfId="65"/>
    <cellStyle name="60% - Accent2 2" xfId="66"/>
    <cellStyle name="60% - Accent2 2 2" xfId="67"/>
    <cellStyle name="60% - Accent2 3" xfId="68"/>
    <cellStyle name="60% - Accent2 4" xfId="69"/>
    <cellStyle name="60% - Accent2 5" xfId="70"/>
    <cellStyle name="60% - Accent3 2" xfId="71"/>
    <cellStyle name="60% - Accent3 2 2" xfId="72"/>
    <cellStyle name="60% - Accent3 3" xfId="73"/>
    <cellStyle name="60% - Accent3 4" xfId="74"/>
    <cellStyle name="60% - Accent3 5" xfId="75"/>
    <cellStyle name="60% - Accent4 2" xfId="76"/>
    <cellStyle name="60% - Accent4 2 2" xfId="77"/>
    <cellStyle name="60% - Accent4 3" xfId="78"/>
    <cellStyle name="60% - Accent4 4" xfId="79"/>
    <cellStyle name="60% - Accent4 5" xfId="80"/>
    <cellStyle name="60% - Accent5 2" xfId="81"/>
    <cellStyle name="60% - Accent5 2 2" xfId="82"/>
    <cellStyle name="60% - Accent5 3" xfId="83"/>
    <cellStyle name="60% - Accent5 4" xfId="84"/>
    <cellStyle name="60% - Accent5 5" xfId="85"/>
    <cellStyle name="60% - Accent6 2" xfId="86"/>
    <cellStyle name="60% - Accent6 2 2" xfId="87"/>
    <cellStyle name="60% - Accent6 3" xfId="88"/>
    <cellStyle name="60% - Accent6 4" xfId="89"/>
    <cellStyle name="60% - Accent6 5" xfId="90"/>
    <cellStyle name="Accent1 2" xfId="91"/>
    <cellStyle name="Accent1 2 2" xfId="92"/>
    <cellStyle name="Accent1 3" xfId="93"/>
    <cellStyle name="Accent1 4" xfId="94"/>
    <cellStyle name="Accent1 5" xfId="95"/>
    <cellStyle name="Accent2 2" xfId="96"/>
    <cellStyle name="Accent2 2 2" xfId="97"/>
    <cellStyle name="Accent2 3" xfId="98"/>
    <cellStyle name="Accent2 4" xfId="99"/>
    <cellStyle name="Accent2 5" xfId="100"/>
    <cellStyle name="Accent3 2" xfId="101"/>
    <cellStyle name="Accent3 2 2" xfId="102"/>
    <cellStyle name="Accent3 3" xfId="103"/>
    <cellStyle name="Accent3 4" xfId="104"/>
    <cellStyle name="Accent3 5" xfId="105"/>
    <cellStyle name="Accent4 2" xfId="106"/>
    <cellStyle name="Accent4 2 2" xfId="107"/>
    <cellStyle name="Accent4 3" xfId="108"/>
    <cellStyle name="Accent4 4" xfId="109"/>
    <cellStyle name="Accent4 5" xfId="110"/>
    <cellStyle name="Accent5 2" xfId="111"/>
    <cellStyle name="Accent5 2 2" xfId="112"/>
    <cellStyle name="Accent5 3" xfId="113"/>
    <cellStyle name="Accent5 4" xfId="114"/>
    <cellStyle name="Accent5 5" xfId="115"/>
    <cellStyle name="Accent6 2" xfId="116"/>
    <cellStyle name="Accent6 2 2" xfId="117"/>
    <cellStyle name="Accent6 3" xfId="118"/>
    <cellStyle name="Accent6 4" xfId="119"/>
    <cellStyle name="Accent6 5" xfId="120"/>
    <cellStyle name="b" xfId="121"/>
    <cellStyle name="b 2" xfId="122"/>
    <cellStyle name="b 2 2" xfId="123"/>
    <cellStyle name="b 2 3" xfId="124"/>
    <cellStyle name="b 2 4" xfId="125"/>
    <cellStyle name="b 2 5" xfId="126"/>
    <cellStyle name="b 2 6" xfId="127"/>
    <cellStyle name="b 3" xfId="128"/>
    <cellStyle name="b_1616A Deep South CRP" xfId="129"/>
    <cellStyle name="b_2010 Ibanda BSF Proposal Budget" xfId="130"/>
    <cellStyle name="b_Yei Base Budget" xfId="131"/>
    <cellStyle name="Bad 2" xfId="132"/>
    <cellStyle name="Bad 2 2" xfId="133"/>
    <cellStyle name="Bad 3" xfId="134"/>
    <cellStyle name="Bad 4" xfId="135"/>
    <cellStyle name="Bad 5" xfId="136"/>
    <cellStyle name="Berekening" xfId="137"/>
    <cellStyle name="Calculation 2" xfId="138"/>
    <cellStyle name="Calculation 2 2" xfId="139"/>
    <cellStyle name="Calculation 3" xfId="140"/>
    <cellStyle name="Calculation 4" xfId="141"/>
    <cellStyle name="Calculation 5" xfId="142"/>
    <cellStyle name="Check Cell 2" xfId="143"/>
    <cellStyle name="Check Cell 2 2" xfId="144"/>
    <cellStyle name="Check Cell 3" xfId="145"/>
    <cellStyle name="Check Cell 4" xfId="146"/>
    <cellStyle name="Check Cell 5" xfId="147"/>
    <cellStyle name="Comma 10" xfId="148"/>
    <cellStyle name="Comma 10 2" xfId="149"/>
    <cellStyle name="Comma 10 2 2" xfId="150"/>
    <cellStyle name="Comma 10 2 2 2" xfId="151"/>
    <cellStyle name="Comma 10 2 2 3" xfId="152"/>
    <cellStyle name="Comma 10 2 2 4" xfId="153"/>
    <cellStyle name="Comma 10 2 2 5" xfId="154"/>
    <cellStyle name="Comma 10 2 3" xfId="155"/>
    <cellStyle name="Comma 10 2 4" xfId="156"/>
    <cellStyle name="Comma 10 2 5" xfId="157"/>
    <cellStyle name="Comma 10 2 6" xfId="158"/>
    <cellStyle name="Comma 10 2 6 2" xfId="159"/>
    <cellStyle name="Comma 10 3" xfId="160"/>
    <cellStyle name="Comma 10 3 2" xfId="161"/>
    <cellStyle name="Comma 10 3 3" xfId="162"/>
    <cellStyle name="Comma 10 3 4" xfId="163"/>
    <cellStyle name="Comma 10 3 5" xfId="164"/>
    <cellStyle name="Comma 10 4" xfId="165"/>
    <cellStyle name="Comma 10 5" xfId="166"/>
    <cellStyle name="Comma 10 6" xfId="167"/>
    <cellStyle name="Comma 10 7" xfId="168"/>
    <cellStyle name="Comma 10 8" xfId="169"/>
    <cellStyle name="Comma 10 9" xfId="170"/>
    <cellStyle name="Comma 11" xfId="171"/>
    <cellStyle name="Comma 11 2" xfId="172"/>
    <cellStyle name="Comma 12" xfId="173"/>
    <cellStyle name="Comma 13" xfId="174"/>
    <cellStyle name="Comma 14" xfId="175"/>
    <cellStyle name="Comma 14 2" xfId="176"/>
    <cellStyle name="Comma 14 3" xfId="177"/>
    <cellStyle name="Comma 15" xfId="178"/>
    <cellStyle name="Comma 15 2" xfId="179"/>
    <cellStyle name="Comma 16" xfId="180"/>
    <cellStyle name="Comma 17" xfId="181"/>
    <cellStyle name="Comma 18" xfId="182"/>
    <cellStyle name="Comma 19" xfId="183"/>
    <cellStyle name="Comma 2" xfId="184"/>
    <cellStyle name="Comma 2 2" xfId="185"/>
    <cellStyle name="Comma 2 2 10" xfId="186"/>
    <cellStyle name="Comma 2 2 11" xfId="187"/>
    <cellStyle name="Comma 2 2 2" xfId="188"/>
    <cellStyle name="Comma 2 2 2 2" xfId="189"/>
    <cellStyle name="Comma 2 2 2 3" xfId="190"/>
    <cellStyle name="Comma 2 2 2 4" xfId="191"/>
    <cellStyle name="Comma 2 2 2 5" xfId="192"/>
    <cellStyle name="Comma 2 2 2 6" xfId="193"/>
    <cellStyle name="Comma 2 2 2 7" xfId="194"/>
    <cellStyle name="Comma 2 2 2_Sheet1" xfId="195"/>
    <cellStyle name="Comma 2 2 3" xfId="196"/>
    <cellStyle name="Comma 2 2 4" xfId="197"/>
    <cellStyle name="Comma 2 2 5" xfId="198"/>
    <cellStyle name="Comma 2 2 6" xfId="199"/>
    <cellStyle name="Comma 2 2 7" xfId="200"/>
    <cellStyle name="Comma 2 2 8" xfId="201"/>
    <cellStyle name="Comma 2 2 9" xfId="202"/>
    <cellStyle name="Comma 2 2_1298 - Livestock 2010" xfId="203"/>
    <cellStyle name="Comma 2 3" xfId="204"/>
    <cellStyle name="Comma 2 3 2" xfId="205"/>
    <cellStyle name="Comma 2 3 3" xfId="206"/>
    <cellStyle name="Comma 2 3 4" xfId="207"/>
    <cellStyle name="Comma 2 3 5" xfId="208"/>
    <cellStyle name="Comma 2 3 6" xfId="209"/>
    <cellStyle name="Comma 2 3 7" xfId="210"/>
    <cellStyle name="Comma 2 3_Sheet1" xfId="211"/>
    <cellStyle name="Comma 2 4" xfId="212"/>
    <cellStyle name="Comma 2 4 2" xfId="213"/>
    <cellStyle name="Comma 2 4 3" xfId="214"/>
    <cellStyle name="Comma 2 4 4" xfId="215"/>
    <cellStyle name="Comma 2 4 5" xfId="216"/>
    <cellStyle name="Comma 2 4 6" xfId="217"/>
    <cellStyle name="Comma 2 5" xfId="218"/>
    <cellStyle name="Comma 2 5 2" xfId="219"/>
    <cellStyle name="Comma 2 5 3" xfId="220"/>
    <cellStyle name="Comma 2 5 4" xfId="221"/>
    <cellStyle name="Comma 2 5 5" xfId="222"/>
    <cellStyle name="Comma 2 5 6" xfId="223"/>
    <cellStyle name="Comma 2 5 7" xfId="224"/>
    <cellStyle name="Comma 2 6" xfId="225"/>
    <cellStyle name="Comma 2 7" xfId="226"/>
    <cellStyle name="Comma 2 8" xfId="227"/>
    <cellStyle name="Comma 20" xfId="228"/>
    <cellStyle name="Comma 3" xfId="229"/>
    <cellStyle name="Comma 3 2" xfId="230"/>
    <cellStyle name="Comma 4" xfId="231"/>
    <cellStyle name="Comma 4 10" xfId="232"/>
    <cellStyle name="Comma 4 11" xfId="233"/>
    <cellStyle name="Comma 4 12" xfId="234"/>
    <cellStyle name="Comma 4 13" xfId="235"/>
    <cellStyle name="Comma 4 14" xfId="236"/>
    <cellStyle name="Comma 4 2" xfId="237"/>
    <cellStyle name="Comma 4 3" xfId="238"/>
    <cellStyle name="Comma 4 3 2" xfId="239"/>
    <cellStyle name="Comma 4 3 2 2" xfId="240"/>
    <cellStyle name="Comma 4 4" xfId="241"/>
    <cellStyle name="Comma 4 5" xfId="242"/>
    <cellStyle name="Comma 4 6" xfId="243"/>
    <cellStyle name="Comma 4 7" xfId="244"/>
    <cellStyle name="Comma 4 8" xfId="245"/>
    <cellStyle name="Comma 4 9" xfId="246"/>
    <cellStyle name="Comma 5" xfId="247"/>
    <cellStyle name="Comma 5 2" xfId="248"/>
    <cellStyle name="Comma 5 3" xfId="249"/>
    <cellStyle name="Comma 5 4" xfId="250"/>
    <cellStyle name="Comma 5 5" xfId="251"/>
    <cellStyle name="Comma 5 6" xfId="252"/>
    <cellStyle name="Comma 6" xfId="253"/>
    <cellStyle name="Comma 6 2" xfId="254"/>
    <cellStyle name="Comma 6 2 2" xfId="255"/>
    <cellStyle name="Comma 6 2 2 2" xfId="256"/>
    <cellStyle name="Comma 6 3" xfId="257"/>
    <cellStyle name="Comma 6 4" xfId="258"/>
    <cellStyle name="Comma 6 5" xfId="259"/>
    <cellStyle name="Comma 6 6" xfId="260"/>
    <cellStyle name="Comma 6 7" xfId="261"/>
    <cellStyle name="Comma 6 8" xfId="262"/>
    <cellStyle name="Comma 7" xfId="263"/>
    <cellStyle name="Comma 7 2" xfId="264"/>
    <cellStyle name="Comma 7 3" xfId="265"/>
    <cellStyle name="Comma 7 4" xfId="266"/>
    <cellStyle name="Comma 7 5" xfId="267"/>
    <cellStyle name="Comma 7 6" xfId="268"/>
    <cellStyle name="Comma 7 7" xfId="269"/>
    <cellStyle name="Comma 7 8" xfId="270"/>
    <cellStyle name="Comma 8" xfId="271"/>
    <cellStyle name="Comma 8 2" xfId="272"/>
    <cellStyle name="Comma 8 3" xfId="273"/>
    <cellStyle name="Comma 8 4" xfId="274"/>
    <cellStyle name="Comma 8 5" xfId="275"/>
    <cellStyle name="Comma 8 6" xfId="276"/>
    <cellStyle name="Comma 8_2012 Project Sheet FSL(1)" xfId="277"/>
    <cellStyle name="Comma 9" xfId="278"/>
    <cellStyle name="Comma 9 2" xfId="279"/>
    <cellStyle name="Comma 9 2 2" xfId="280"/>
    <cellStyle name="Comma 9 2 3" xfId="281"/>
    <cellStyle name="Comma 9 2 4" xfId="282"/>
    <cellStyle name="Comma 9 2 5" xfId="283"/>
    <cellStyle name="Comma 9 3" xfId="284"/>
    <cellStyle name="Comma 9 4" xfId="285"/>
    <cellStyle name="Comma 9 5" xfId="286"/>
    <cellStyle name="Comma 9 6" xfId="287"/>
    <cellStyle name="Controlecel" xfId="288"/>
    <cellStyle name="Currency 2" xfId="289"/>
    <cellStyle name="Currency 2 2" xfId="290"/>
    <cellStyle name="Currency 2 3" xfId="291"/>
    <cellStyle name="Currency 2 4" xfId="292"/>
    <cellStyle name="Currency 2 5" xfId="293"/>
    <cellStyle name="Currency 2 6" xfId="294"/>
    <cellStyle name="Currency 3" xfId="295"/>
    <cellStyle name="Currency 3 2" xfId="296"/>
    <cellStyle name="Currency 3 2 2" xfId="297"/>
    <cellStyle name="Currency 3 2 2 2" xfId="298"/>
    <cellStyle name="Currency 3 3" xfId="299"/>
    <cellStyle name="Currency 3 4" xfId="300"/>
    <cellStyle name="Currency 3 5" xfId="301"/>
    <cellStyle name="Currency 3 6" xfId="302"/>
    <cellStyle name="Currency 3 7" xfId="303"/>
    <cellStyle name="Currency 3 8" xfId="304"/>
    <cellStyle name="Currency 3 9" xfId="305"/>
    <cellStyle name="Currency 4" xfId="306"/>
    <cellStyle name="Currency 4 2" xfId="307"/>
    <cellStyle name="Currency 4 2 2" xfId="308"/>
    <cellStyle name="Currency 4 2 3" xfId="309"/>
    <cellStyle name="Currency 4 2 4" xfId="310"/>
    <cellStyle name="Currency 4 2 5" xfId="311"/>
    <cellStyle name="Currency 4 3" xfId="312"/>
    <cellStyle name="Currency 4 4" xfId="313"/>
    <cellStyle name="Currency 4 5" xfId="314"/>
    <cellStyle name="Currency 4 6" xfId="315"/>
    <cellStyle name="Currency 4 7" xfId="316"/>
    <cellStyle name="Currency 5" xfId="317"/>
    <cellStyle name="Currency 5 2" xfId="318"/>
    <cellStyle name="Currency 5 2 2" xfId="319"/>
    <cellStyle name="Currency 5 2 3" xfId="320"/>
    <cellStyle name="Currency 5 2 4" xfId="321"/>
    <cellStyle name="Currency 5 2 5" xfId="322"/>
    <cellStyle name="Currency 5 3" xfId="323"/>
    <cellStyle name="Currency 5 4" xfId="324"/>
    <cellStyle name="Currency 5 5" xfId="325"/>
    <cellStyle name="Currency 5 6" xfId="326"/>
    <cellStyle name="Euro" xfId="327"/>
    <cellStyle name="Explanatory Text 2" xfId="328"/>
    <cellStyle name="Explanatory Text 2 2" xfId="329"/>
    <cellStyle name="Explanatory Text 3" xfId="330"/>
    <cellStyle name="Explanatory Text 4" xfId="331"/>
    <cellStyle name="Explanatory Text 5" xfId="332"/>
    <cellStyle name="Gekoppelde cel" xfId="333"/>
    <cellStyle name="Goed" xfId="334"/>
    <cellStyle name="Good 2" xfId="335"/>
    <cellStyle name="Good 2 2" xfId="336"/>
    <cellStyle name="Good 3" xfId="337"/>
    <cellStyle name="Good 4" xfId="338"/>
    <cellStyle name="Good 5" xfId="339"/>
    <cellStyle name="Heading 1 2" xfId="340"/>
    <cellStyle name="Heading 1 2 2" xfId="341"/>
    <cellStyle name="Heading 1 3" xfId="342"/>
    <cellStyle name="Heading 1 4" xfId="343"/>
    <cellStyle name="Heading 1 5" xfId="344"/>
    <cellStyle name="Heading 2 2" xfId="345"/>
    <cellStyle name="Heading 2 2 2" xfId="346"/>
    <cellStyle name="Heading 2 3" xfId="347"/>
    <cellStyle name="Heading 2 4" xfId="348"/>
    <cellStyle name="Heading 2 5" xfId="349"/>
    <cellStyle name="Heading 3 2" xfId="350"/>
    <cellStyle name="Heading 3 2 2" xfId="351"/>
    <cellStyle name="Heading 3 2 2 2" xfId="352"/>
    <cellStyle name="Heading 3 2 3" xfId="353"/>
    <cellStyle name="Heading 3 2 4" xfId="354"/>
    <cellStyle name="Heading 3 2 5" xfId="355"/>
    <cellStyle name="Heading 3 3" xfId="356"/>
    <cellStyle name="Heading 3 3 2" xfId="357"/>
    <cellStyle name="Heading 3 3 3" xfId="358"/>
    <cellStyle name="Heading 3 3 4" xfId="359"/>
    <cellStyle name="Heading 3 3 5" xfId="360"/>
    <cellStyle name="Heading 3 4" xfId="361"/>
    <cellStyle name="Heading 3 4 2" xfId="362"/>
    <cellStyle name="Heading 3 4 3" xfId="363"/>
    <cellStyle name="Heading 3 4 4" xfId="364"/>
    <cellStyle name="Heading 3 4 5" xfId="365"/>
    <cellStyle name="Heading 3 5" xfId="366"/>
    <cellStyle name="Heading 3 5 2" xfId="367"/>
    <cellStyle name="Heading 3 5 3" xfId="368"/>
    <cellStyle name="Heading 3 5 4" xfId="369"/>
    <cellStyle name="Heading 3 5 5" xfId="370"/>
    <cellStyle name="Heading 3 6" xfId="371"/>
    <cellStyle name="Heading 4 2" xfId="372"/>
    <cellStyle name="Heading 4 2 2" xfId="373"/>
    <cellStyle name="Heading 4 3" xfId="374"/>
    <cellStyle name="Heading 4 4" xfId="375"/>
    <cellStyle name="Heading 4 5" xfId="376"/>
    <cellStyle name="Hyperlink 2" xfId="377"/>
    <cellStyle name="Input 2" xfId="378"/>
    <cellStyle name="Input 2 2" xfId="379"/>
    <cellStyle name="Input 3" xfId="380"/>
    <cellStyle name="Input 4" xfId="381"/>
    <cellStyle name="Input 5" xfId="382"/>
    <cellStyle name="Invoer" xfId="383"/>
    <cellStyle name="Kop 1" xfId="384"/>
    <cellStyle name="Kop 2" xfId="385"/>
    <cellStyle name="Kop 3" xfId="386"/>
    <cellStyle name="Kop 4" xfId="387"/>
    <cellStyle name="Linked Cell 2" xfId="388"/>
    <cellStyle name="Linked Cell 2 2" xfId="389"/>
    <cellStyle name="Linked Cell 3" xfId="390"/>
    <cellStyle name="Linked Cell 4" xfId="391"/>
    <cellStyle name="Linked Cell 5" xfId="392"/>
    <cellStyle name="Millares [0]_FER y Adelanto Efectivo form" xfId="393"/>
    <cellStyle name="Neutraal" xfId="394"/>
    <cellStyle name="Neutral 2" xfId="395"/>
    <cellStyle name="Neutral 2 2" xfId="396"/>
    <cellStyle name="Neutral 3" xfId="397"/>
    <cellStyle name="Neutral 4" xfId="398"/>
    <cellStyle name="Neutral 5" xfId="399"/>
    <cellStyle name="Normal 10" xfId="400"/>
    <cellStyle name="Normal 10 2" xfId="401"/>
    <cellStyle name="Normal 11" xfId="402"/>
    <cellStyle name="Normal 11 2" xfId="403"/>
    <cellStyle name="Normal 12" xfId="404"/>
    <cellStyle name="Normal 12 2" xfId="405"/>
    <cellStyle name="Normal 12 3" xfId="406"/>
    <cellStyle name="Normal 12 4" xfId="407"/>
    <cellStyle name="Normal 12 5" xfId="408"/>
    <cellStyle name="Normal 12 6" xfId="409"/>
    <cellStyle name="Normal 13" xfId="410"/>
    <cellStyle name="Normal 14" xfId="411"/>
    <cellStyle name="Normal 15" xfId="412"/>
    <cellStyle name="Normal 15 2" xfId="413"/>
    <cellStyle name="Normal 15 3" xfId="414"/>
    <cellStyle name="Normal 15 4" xfId="415"/>
    <cellStyle name="Normal 15 5" xfId="416"/>
    <cellStyle name="Normal 15 6" xfId="417"/>
    <cellStyle name="Normal 16" xfId="418"/>
    <cellStyle name="Normal 16 2" xfId="419"/>
    <cellStyle name="Normal 16 3" xfId="420"/>
    <cellStyle name="Normal 16 4" xfId="421"/>
    <cellStyle name="Normal 16 5" xfId="422"/>
    <cellStyle name="Normal 16 6" xfId="423"/>
    <cellStyle name="Normal 17" xfId="424"/>
    <cellStyle name="Normal 18" xfId="425"/>
    <cellStyle name="Normal 19" xfId="426"/>
    <cellStyle name="Normal 19 3" xfId="427"/>
    <cellStyle name="Normal 2" xfId="428"/>
    <cellStyle name="Normal 2 10" xfId="429"/>
    <cellStyle name="Normal 2 11" xfId="430"/>
    <cellStyle name="Normal 2 12" xfId="431"/>
    <cellStyle name="Normal 2 13" xfId="432"/>
    <cellStyle name="Normal 2 14" xfId="433"/>
    <cellStyle name="Normal 2 15" xfId="434"/>
    <cellStyle name="Normal 2 16" xfId="435"/>
    <cellStyle name="Normal 2 17" xfId="436"/>
    <cellStyle name="Normal 2 18" xfId="437"/>
    <cellStyle name="Normal 2 19" xfId="438"/>
    <cellStyle name="Normal 2 2" xfId="439"/>
    <cellStyle name="Normal 2 2 2" xfId="440"/>
    <cellStyle name="Normal 2 2 3" xfId="441"/>
    <cellStyle name="Normal 2 2 4" xfId="442"/>
    <cellStyle name="Normal 2 2 5" xfId="443"/>
    <cellStyle name="Normal 2 2 6" xfId="444"/>
    <cellStyle name="Normal 2 2 7" xfId="445"/>
    <cellStyle name="Normal 2 2_Sheet1" xfId="446"/>
    <cellStyle name="Normal 2 3" xfId="447"/>
    <cellStyle name="Normal 2 3 2" xfId="448"/>
    <cellStyle name="Normal 2 3 3" xfId="449"/>
    <cellStyle name="Normal 2 3 4" xfId="450"/>
    <cellStyle name="Normal 2 3 5" xfId="451"/>
    <cellStyle name="Normal 2 3 6" xfId="452"/>
    <cellStyle name="Normal 2 3 7" xfId="453"/>
    <cellStyle name="Normal 2 4" xfId="454"/>
    <cellStyle name="Normal 2 5" xfId="455"/>
    <cellStyle name="Normal 2 6" xfId="456"/>
    <cellStyle name="Normal 2 7" xfId="457"/>
    <cellStyle name="Normal 2 8" xfId="458"/>
    <cellStyle name="Normal 2 9" xfId="459"/>
    <cellStyle name="Normal 2_1298 - Livestock 2010" xfId="460"/>
    <cellStyle name="Normal 20" xfId="461"/>
    <cellStyle name="Normal 21" xfId="462"/>
    <cellStyle name="Normal 22" xfId="463"/>
    <cellStyle name="Normal 3" xfId="464"/>
    <cellStyle name="Normal 3 2" xfId="465"/>
    <cellStyle name="Normal 3 2 2" xfId="466"/>
    <cellStyle name="Normal 3 3" xfId="467"/>
    <cellStyle name="Normal 3 3 2" xfId="468"/>
    <cellStyle name="Normal 3 3 2 2" xfId="469"/>
    <cellStyle name="Normal 3 3 2 2 2" xfId="470"/>
    <cellStyle name="Normal 3 3 2 2 3" xfId="471"/>
    <cellStyle name="Normal 3 3 2 2 4" xfId="472"/>
    <cellStyle name="Normal 3 3 2 2 5" xfId="473"/>
    <cellStyle name="Normal 3 3 2 3" xfId="474"/>
    <cellStyle name="Normal 3 3 2 4" xfId="475"/>
    <cellStyle name="Normal 3 3 2 5" xfId="476"/>
    <cellStyle name="Normal 3 3 2 6" xfId="477"/>
    <cellStyle name="Normal 3 3 3" xfId="478"/>
    <cellStyle name="Normal 3 3 3 2" xfId="479"/>
    <cellStyle name="Normal 3 3 3 3" xfId="480"/>
    <cellStyle name="Normal 3 3 3 4" xfId="481"/>
    <cellStyle name="Normal 3 3 3 5" xfId="482"/>
    <cellStyle name="Normal 3 3 4" xfId="483"/>
    <cellStyle name="Normal 3 3 4 2" xfId="484"/>
    <cellStyle name="Normal 3 3 5" xfId="485"/>
    <cellStyle name="Normal 3 3 5 2" xfId="486"/>
    <cellStyle name="Normal 3 3 6" xfId="487"/>
    <cellStyle name="Normal 3 3 7" xfId="488"/>
    <cellStyle name="Normal 3 3 7 2" xfId="489"/>
    <cellStyle name="Normal 3 3 8" xfId="490"/>
    <cellStyle name="Normal 3 3 9" xfId="491"/>
    <cellStyle name="Normal 3 4" xfId="492"/>
    <cellStyle name="Normal 3 5" xfId="493"/>
    <cellStyle name="Normal 3 6" xfId="494"/>
    <cellStyle name="Normal 3 7" xfId="495"/>
    <cellStyle name="Normal 3 8" xfId="496"/>
    <cellStyle name="Normal 3 9" xfId="497"/>
    <cellStyle name="Normal 3_Sheet1" xfId="498"/>
    <cellStyle name="Normal 4" xfId="499"/>
    <cellStyle name="Normal 4 2" xfId="500"/>
    <cellStyle name="Normal 4_Sheet1" xfId="501"/>
    <cellStyle name="Normal 5" xfId="502"/>
    <cellStyle name="Normal 5 2" xfId="503"/>
    <cellStyle name="Normal 5 2 2" xfId="504"/>
    <cellStyle name="Normal 5 2 2 2" xfId="505"/>
    <cellStyle name="Normal 5 3" xfId="506"/>
    <cellStyle name="Normal 5 4" xfId="507"/>
    <cellStyle name="Normal 5 4 2" xfId="508"/>
    <cellStyle name="Normal 5 5" xfId="509"/>
    <cellStyle name="Normal 5 6" xfId="510"/>
    <cellStyle name="Normal 5 7" xfId="511"/>
    <cellStyle name="Normal 5_2012 Project Sheet FSL(1)" xfId="512"/>
    <cellStyle name="Normal 6" xfId="513"/>
    <cellStyle name="Normal 6 2" xfId="514"/>
    <cellStyle name="Normal 6 2 2" xfId="515"/>
    <cellStyle name="Normal 6 2 3" xfId="516"/>
    <cellStyle name="Normal 6 2 4" xfId="517"/>
    <cellStyle name="Normal 6 2 5" xfId="518"/>
    <cellStyle name="Normal 6 2 6" xfId="519"/>
    <cellStyle name="Normal 6 3" xfId="520"/>
    <cellStyle name="Normal 6 4" xfId="521"/>
    <cellStyle name="Normal 6 5" xfId="522"/>
    <cellStyle name="Normal 6 6" xfId="523"/>
    <cellStyle name="Normal 6 7" xfId="524"/>
    <cellStyle name="Normal 6 8" xfId="525"/>
    <cellStyle name="Normal 6_2012 Project Sheet FSL(1)" xfId="526"/>
    <cellStyle name="Normal 7" xfId="527"/>
    <cellStyle name="Normal 7 2" xfId="528"/>
    <cellStyle name="Normal 7 2 2" xfId="529"/>
    <cellStyle name="Normal 7 2 3" xfId="530"/>
    <cellStyle name="Normal 7 2 4" xfId="531"/>
    <cellStyle name="Normal 7 2 5" xfId="532"/>
    <cellStyle name="Normal 7 3" xfId="533"/>
    <cellStyle name="Normal 7 4" xfId="534"/>
    <cellStyle name="Normal 7 5" xfId="535"/>
    <cellStyle name="Normal 7 6" xfId="536"/>
    <cellStyle name="Normal 8" xfId="537"/>
    <cellStyle name="Normal 8 2" xfId="538"/>
    <cellStyle name="Normal 8 2 2" xfId="539"/>
    <cellStyle name="Normal 8 2 3" xfId="540"/>
    <cellStyle name="Normal 8 2 4" xfId="541"/>
    <cellStyle name="Normal 8 2 5" xfId="542"/>
    <cellStyle name="Normal 8 3" xfId="543"/>
    <cellStyle name="Normal 8 4" xfId="544"/>
    <cellStyle name="Normal 8 5" xfId="545"/>
    <cellStyle name="Normal 8 6" xfId="546"/>
    <cellStyle name="Normal 8 7" xfId="547"/>
    <cellStyle name="Normal 9" xfId="548"/>
    <cellStyle name="Normal 9 2" xfId="549"/>
    <cellStyle name="Normal 9 3" xfId="550"/>
    <cellStyle name="Note 2" xfId="551"/>
    <cellStyle name="Note 2 2" xfId="552"/>
    <cellStyle name="Note 3" xfId="553"/>
    <cellStyle name="Note 4" xfId="554"/>
    <cellStyle name="Note 5" xfId="555"/>
    <cellStyle name="Note 6" xfId="556"/>
    <cellStyle name="Note 7" xfId="557"/>
    <cellStyle name="Note 8" xfId="558"/>
    <cellStyle name="Note 9" xfId="559"/>
    <cellStyle name="Notitie" xfId="560"/>
    <cellStyle name="Number" xfId="561"/>
    <cellStyle name="Number 10" xfId="562"/>
    <cellStyle name="Number 11" xfId="563"/>
    <cellStyle name="Number 12" xfId="564"/>
    <cellStyle name="Number 13" xfId="565"/>
    <cellStyle name="Number 14" xfId="566"/>
    <cellStyle name="Number 2" xfId="567"/>
    <cellStyle name="Number 3" xfId="568"/>
    <cellStyle name="Number 4" xfId="569"/>
    <cellStyle name="Number 5" xfId="570"/>
    <cellStyle name="Number 6" xfId="571"/>
    <cellStyle name="Number 7" xfId="572"/>
    <cellStyle name="Number 8" xfId="573"/>
    <cellStyle name="Number 9" xfId="574"/>
    <cellStyle name="Number_BLANK" xfId="575"/>
    <cellStyle name="Ongeldig" xfId="576"/>
    <cellStyle name="Output 2" xfId="577"/>
    <cellStyle name="Output 2 2" xfId="578"/>
    <cellStyle name="Output 3" xfId="579"/>
    <cellStyle name="Output 4" xfId="580"/>
    <cellStyle name="Output 5" xfId="581"/>
    <cellStyle name="Percent 2" xfId="582"/>
    <cellStyle name="Percent 2 10" xfId="583"/>
    <cellStyle name="Percent 2 11" xfId="584"/>
    <cellStyle name="Percent 2 12" xfId="585"/>
    <cellStyle name="Percent 2 13" xfId="586"/>
    <cellStyle name="Percent 2 14" xfId="587"/>
    <cellStyle name="Percent 2 15" xfId="588"/>
    <cellStyle name="Percent 2 16" xfId="589"/>
    <cellStyle name="Percent 2 2" xfId="590"/>
    <cellStyle name="Percent 2 3" xfId="591"/>
    <cellStyle name="Percent 2 4" xfId="592"/>
    <cellStyle name="Percent 2 5" xfId="593"/>
    <cellStyle name="Percent 2 6" xfId="594"/>
    <cellStyle name="Percent 2 7" xfId="595"/>
    <cellStyle name="Percent 2 8" xfId="596"/>
    <cellStyle name="Percent 2 9" xfId="597"/>
    <cellStyle name="Percent 2_Sheet1" xfId="598"/>
    <cellStyle name="Percent 3" xfId="599"/>
    <cellStyle name="Percent 3 2" xfId="600"/>
    <cellStyle name="Percent 3 3" xfId="601"/>
    <cellStyle name="Percent 3 4" xfId="602"/>
    <cellStyle name="Percent 3 5" xfId="603"/>
    <cellStyle name="Percent 3 6" xfId="604"/>
    <cellStyle name="Percent 3 7" xfId="605"/>
    <cellStyle name="Percent 3 8" xfId="606"/>
    <cellStyle name="Percent 4" xfId="607"/>
    <cellStyle name="Percent 4 2" xfId="608"/>
    <cellStyle name="Percent 4 3" xfId="609"/>
    <cellStyle name="Percent 4 4" xfId="610"/>
    <cellStyle name="Percent 4 5" xfId="611"/>
    <cellStyle name="Percent 4 6" xfId="612"/>
    <cellStyle name="Percent 4 7" xfId="613"/>
    <cellStyle name="Percent 5" xfId="614"/>
    <cellStyle name="Percent 5 2" xfId="615"/>
    <cellStyle name="Percent 5 2 2" xfId="616"/>
    <cellStyle name="Percent 5 2 3" xfId="617"/>
    <cellStyle name="Percent 5 2 4" xfId="618"/>
    <cellStyle name="Percent 5 2 5" xfId="619"/>
    <cellStyle name="Percent 5 3" xfId="620"/>
    <cellStyle name="Percent 5 4" xfId="621"/>
    <cellStyle name="Percent 5 5" xfId="622"/>
    <cellStyle name="Percent 5 6" xfId="623"/>
    <cellStyle name="Percent 6" xfId="624"/>
    <cellStyle name="Percent 7" xfId="625"/>
    <cellStyle name="Percent 8" xfId="626"/>
    <cellStyle name="Titel" xfId="627"/>
    <cellStyle name="Title 2" xfId="628"/>
    <cellStyle name="Title 2 2" xfId="629"/>
    <cellStyle name="Title 3" xfId="630"/>
    <cellStyle name="Title 4" xfId="631"/>
    <cellStyle name="Title 5" xfId="632"/>
    <cellStyle name="Totaal" xfId="633"/>
    <cellStyle name="Total 2" xfId="634"/>
    <cellStyle name="Total 2 2" xfId="635"/>
    <cellStyle name="Total 3" xfId="636"/>
    <cellStyle name="Total 4" xfId="637"/>
    <cellStyle name="Total 5" xfId="638"/>
    <cellStyle name="Uitvoer" xfId="639"/>
    <cellStyle name="Verklarende tekst" xfId="640"/>
    <cellStyle name="Waarschuwingstekst" xfId="641"/>
    <cellStyle name="Warning Text 2" xfId="642"/>
    <cellStyle name="Warning Text 2 2" xfId="643"/>
    <cellStyle name="Warning Text 3" xfId="644"/>
    <cellStyle name="Warning Text 4" xfId="645"/>
    <cellStyle name="Warning Text 5" xfId="646"/>
    <cellStyle name="Currency" xfId="647" builtinId="4"/>
    <cellStyle name="Comma 8 7" xfId="648"/>
    <cellStyle name="Normal 23" xfId="649"/>
    <cellStyle name="Comma 21" xfId="650"/>
    <cellStyle name="Normal 2 20" xfId="651"/>
    <cellStyle name="Hyperlink" xfId="652" builtinId="8"/>
    <cellStyle name="Normal 23 2" xfId="653"/>
    <cellStyle name="Comma 3 2 2" xfId="654"/>
    <cellStyle name="Currency 6" xfId="655"/>
    <cellStyle name="Normal 24" xfId="656"/>
    <cellStyle name="Normal 5 3 2" xfId="657"/>
    <cellStyle name="Normal 19 2" xfId="658"/>
  </cellStyles>
  <dxfs count="1">
    <dxf>
      <font>
        <b val="1"/>
        <color rgb="FFFF000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6">
    <tabColor rgb="FF00B050"/>
    <outlinePr summaryBelow="1" summaryRight="1"/>
    <pageSetUpPr fitToPage="1"/>
  </sheetPr>
  <dimension ref="A1:P73"/>
  <sheetViews>
    <sheetView showGridLines="0" tabSelected="1" showRuler="0" zoomScale="70" zoomScaleNormal="70" zoomScaleSheetLayoutView="106" workbookViewId="0">
      <selection activeCell="A1" sqref="A1:B1"/>
    </sheetView>
  </sheetViews>
  <sheetFormatPr baseColWidth="8" defaultColWidth="9.21875" defaultRowHeight="14.4"/>
  <cols>
    <col width="6.21875" customWidth="1" style="10" min="1" max="1"/>
    <col width="31.109375" customWidth="1" style="56" min="2" max="3"/>
    <col width="12.21875" customWidth="1" style="56" min="4" max="4"/>
    <col width="15.5546875" customWidth="1" style="56" min="5" max="5"/>
    <col width="14.5546875" customWidth="1" style="56" min="6" max="6"/>
    <col width="13.44140625" customWidth="1" style="51" min="7" max="7"/>
    <col width="19.109375" bestFit="1" customWidth="1" style="56" min="8" max="8"/>
    <col width="3.5546875" customWidth="1" style="12" min="9" max="9"/>
    <col width="11.5546875" customWidth="1" style="11" min="10" max="10"/>
    <col width="7.44140625" customWidth="1" style="12" min="11" max="11"/>
    <col width="20.44140625" bestFit="1" customWidth="1" style="11" min="12" max="12"/>
    <col width="9.21875" customWidth="1" style="56" min="13" max="13"/>
    <col width="12.21875" bestFit="1" customWidth="1" style="56" min="14" max="14"/>
    <col width="9.21875" customWidth="1" style="56" min="15" max="15"/>
    <col width="12.21875" bestFit="1" customWidth="1" style="56" min="16" max="16"/>
    <col width="9.21875" customWidth="1" style="56" min="17" max="17"/>
    <col width="12.21875" bestFit="1" customWidth="1" style="56" min="18" max="18"/>
    <col width="9.21875" customWidth="1" style="56" min="19" max="16384"/>
  </cols>
  <sheetData>
    <row r="1" ht="20.1" customFormat="1" customHeight="1" s="55">
      <c r="A1" s="109" t="n"/>
      <c r="B1" s="236" t="n"/>
      <c r="C1" s="113" t="inlineStr">
        <is>
          <t xml:space="preserve">  CASH DISBURSEMENT FORM</t>
        </is>
      </c>
      <c r="D1" s="236" t="n"/>
      <c r="E1" s="236" t="n"/>
      <c r="F1" s="236" t="n"/>
      <c r="G1" s="236" t="n"/>
      <c r="H1" s="236" t="n"/>
      <c r="I1" s="126" t="inlineStr">
        <is>
          <t>PURCHASE REQ #:</t>
        </is>
      </c>
      <c r="J1" s="237" t="n"/>
      <c r="K1" s="237" t="n"/>
      <c r="L1" s="64" t="inlineStr"/>
    </row>
    <row r="2" ht="20.1" customFormat="1" customHeight="1" s="55">
      <c r="A2" s="6" t="n"/>
      <c r="B2" s="7" t="n"/>
      <c r="C2" s="238" t="n"/>
      <c r="D2" s="238" t="n"/>
      <c r="E2" s="238" t="n"/>
      <c r="F2" s="238" t="n"/>
      <c r="G2" s="238" t="n"/>
      <c r="H2" s="238" t="n"/>
      <c r="I2" s="127" t="inlineStr">
        <is>
          <t>DATE SUBMITTED:</t>
        </is>
      </c>
      <c r="J2" s="239" t="n"/>
      <c r="K2" s="239" t="n"/>
      <c r="L2" s="240" t="n"/>
    </row>
    <row r="3" ht="20.1" customFormat="1" customHeight="1" s="55">
      <c r="A3" s="111" t="n"/>
      <c r="B3" s="238" t="n"/>
      <c r="C3" s="115" t="inlineStr">
        <is>
          <t>SP DRC</t>
        </is>
      </c>
      <c r="D3" s="238" t="n"/>
      <c r="E3" s="238" t="n"/>
      <c r="F3" s="238" t="n"/>
      <c r="G3" s="238" t="n"/>
      <c r="H3" s="238" t="n"/>
      <c r="I3" s="127" t="inlineStr">
        <is>
          <t>DATE REQUIRED:</t>
        </is>
      </c>
      <c r="J3" s="239" t="n"/>
      <c r="K3" s="239" t="n"/>
      <c r="L3" s="240" t="n"/>
    </row>
    <row r="4" ht="20.1" customFormat="1" customHeight="1" s="56">
      <c r="A4" s="218" t="inlineStr">
        <is>
          <t>Requested by:</t>
        </is>
      </c>
      <c r="B4" s="238" t="n"/>
      <c r="C4" s="195" t="n"/>
      <c r="D4" s="239" t="n"/>
      <c r="E4" s="239" t="n"/>
      <c r="F4" s="142" t="n"/>
      <c r="G4" s="238" t="n"/>
      <c r="H4" s="238" t="n"/>
      <c r="I4" s="146" t="n"/>
      <c r="J4" s="238" t="n"/>
      <c r="K4" s="238" t="n"/>
      <c r="L4" s="241" t="n"/>
    </row>
    <row r="5" ht="20.1" customFormat="1" customHeight="1" s="56" thickBot="1">
      <c r="A5" s="218" t="inlineStr">
        <is>
          <t>Phone:</t>
        </is>
      </c>
      <c r="B5" s="238" t="n"/>
      <c r="C5" s="242" t="n"/>
      <c r="D5" s="243" t="n"/>
      <c r="E5" s="243" t="n"/>
      <c r="F5" s="142" t="inlineStr">
        <is>
          <t>Delivery Location:</t>
        </is>
      </c>
      <c r="G5" s="238" t="n"/>
      <c r="H5" s="238" t="n"/>
      <c r="I5" s="148" t="n"/>
      <c r="J5" s="238" t="n"/>
      <c r="K5" s="238" t="n"/>
      <c r="L5" s="241" t="n"/>
    </row>
    <row r="6" ht="20.1" customFormat="1" customHeight="1" s="56" thickBot="1">
      <c r="A6" s="218" t="inlineStr">
        <is>
          <t xml:space="preserve">Email: </t>
        </is>
      </c>
      <c r="B6" s="238" t="n"/>
      <c r="C6" s="197" t="n"/>
      <c r="D6" s="243" t="n"/>
      <c r="E6" s="243" t="n"/>
      <c r="F6" s="219" t="inlineStr">
        <is>
          <t>CURRENCY:</t>
        </is>
      </c>
      <c r="G6" s="238" t="n"/>
      <c r="H6" s="66" t="inlineStr">
        <is>
          <t>USD</t>
        </is>
      </c>
      <c r="I6" s="31" t="n"/>
      <c r="J6" s="67" t="inlineStr">
        <is>
          <t>CDF</t>
        </is>
      </c>
      <c r="K6" s="31" t="n"/>
      <c r="L6" s="5" t="n"/>
    </row>
    <row r="7" ht="28.05" customFormat="1" customHeight="1" s="57" thickBot="1">
      <c r="A7" s="223" t="inlineStr">
        <is>
          <t>Requestor Signature:</t>
        </is>
      </c>
      <c r="B7" s="244" t="n"/>
      <c r="C7" s="52" t="n"/>
      <c r="D7" s="52" t="n"/>
      <c r="E7" s="53" t="n"/>
      <c r="F7" s="44" t="n"/>
      <c r="G7" s="245" t="n"/>
      <c r="H7" s="13" t="n"/>
      <c r="I7" s="14" t="n"/>
      <c r="J7" s="14" t="n"/>
      <c r="K7" s="14" t="n"/>
      <c r="L7" s="15" t="n"/>
      <c r="P7" s="63" t="n"/>
    </row>
    <row r="8" ht="20.1" customFormat="1" customHeight="1" s="58" thickBot="1">
      <c r="A8" s="225" t="inlineStr">
        <is>
          <t>APPROVED BY:</t>
        </is>
      </c>
      <c r="B8" s="246" t="n"/>
      <c r="C8" s="247" t="n"/>
      <c r="D8" s="157" t="inlineStr">
        <is>
          <t>PRINT NAME:</t>
        </is>
      </c>
      <c r="E8" s="247" t="n"/>
      <c r="F8" s="226" t="inlineStr">
        <is>
          <t>SIGNATURE:</t>
        </is>
      </c>
      <c r="G8" s="246" t="n"/>
      <c r="H8" s="246" t="n"/>
      <c r="I8" s="246" t="n"/>
      <c r="J8" s="246" t="n"/>
      <c r="K8" s="247" t="n"/>
      <c r="L8" s="227" t="inlineStr">
        <is>
          <t>DATE:</t>
        </is>
      </c>
    </row>
    <row r="9" ht="15" customHeight="1">
      <c r="A9" s="248" t="inlineStr">
        <is>
          <t>Program Manager/Budget Manager (or designee)</t>
        </is>
      </c>
      <c r="C9" s="249" t="n"/>
      <c r="D9" s="164" t="n"/>
      <c r="E9" s="250" t="n"/>
      <c r="F9" s="251" t="n"/>
      <c r="G9" s="238" t="n"/>
      <c r="H9" s="238" t="n"/>
      <c r="I9" s="238" t="n"/>
      <c r="J9" s="238" t="n"/>
      <c r="K9" s="250" t="n"/>
      <c r="L9" s="252" t="n"/>
    </row>
    <row r="10" ht="15" customHeight="1">
      <c r="A10" s="253" t="inlineStr">
        <is>
          <t>Requests &lt; US$1,000 and All Amounts on quote analysis</t>
        </is>
      </c>
      <c r="B10" s="254" t="n"/>
      <c r="C10" s="255" t="n"/>
      <c r="D10" s="239" t="n"/>
      <c r="E10" s="256" t="n"/>
      <c r="F10" s="257" t="n"/>
      <c r="G10" s="239" t="n"/>
      <c r="H10" s="239" t="n"/>
      <c r="I10" s="239" t="n"/>
      <c r="J10" s="239" t="n"/>
      <c r="K10" s="256" t="n"/>
      <c r="L10" s="258" t="n"/>
    </row>
    <row r="11" ht="15" customHeight="1">
      <c r="A11" s="259" t="inlineStr">
        <is>
          <t xml:space="preserve"> Chief of Party  (USAIDizi project only)</t>
        </is>
      </c>
      <c r="B11" s="260" t="n"/>
      <c r="C11" s="261" t="n"/>
      <c r="D11" s="262" t="n"/>
      <c r="E11" s="263" t="n"/>
      <c r="F11" s="264" t="n"/>
      <c r="G11" s="265" t="n"/>
      <c r="H11" s="265" t="n"/>
      <c r="I11" s="265" t="n"/>
      <c r="J11" s="265" t="n"/>
      <c r="K11" s="263" t="n"/>
      <c r="L11" s="266" t="n"/>
    </row>
    <row r="12" ht="15" customHeight="1">
      <c r="A12" s="253" t="inlineStr">
        <is>
          <t xml:space="preserve">Requests &gt;= US$1,000 and &lt; US$2,500 </t>
        </is>
      </c>
      <c r="B12" s="254" t="n"/>
      <c r="C12" s="255" t="n"/>
      <c r="D12" s="239" t="n"/>
      <c r="E12" s="256" t="n"/>
      <c r="F12" s="257" t="n"/>
      <c r="G12" s="239" t="n"/>
      <c r="H12" s="239" t="n"/>
      <c r="I12" s="239" t="n"/>
      <c r="J12" s="239" t="n"/>
      <c r="K12" s="256" t="n"/>
      <c r="L12" s="258" t="n"/>
    </row>
    <row r="13" ht="13.05" customHeight="1">
      <c r="A13" s="267" t="inlineStr">
        <is>
          <t>Senior Program/Operations Manager or designee (all others)</t>
        </is>
      </c>
      <c r="B13" s="260" t="n"/>
      <c r="C13" s="261" t="n"/>
      <c r="D13" s="262" t="n"/>
      <c r="E13" s="263" t="n"/>
      <c r="F13" s="264" t="n"/>
      <c r="G13" s="265" t="n"/>
      <c r="H13" s="265" t="n"/>
      <c r="I13" s="265" t="n"/>
      <c r="J13" s="265" t="n"/>
      <c r="K13" s="263" t="n"/>
      <c r="L13" s="266" t="n"/>
    </row>
    <row r="14" ht="37.5" customHeight="1">
      <c r="A14" s="253" t="inlineStr">
        <is>
          <t>Requests   &gt;=US$2500 and &lt; US$5,000 (USAIDizi Project Only)
Requests   &gt;=US$1,000 and &lt; US$5,000 For Other Projects
Requests  &gt;US$0 and &lt; US$5,000 For Base Budget</t>
        </is>
      </c>
      <c r="B14" s="254" t="n"/>
      <c r="C14" s="255" t="n"/>
      <c r="D14" s="239" t="n"/>
      <c r="E14" s="256" t="n"/>
      <c r="F14" s="257" t="n"/>
      <c r="G14" s="239" t="n"/>
      <c r="H14" s="239" t="n"/>
      <c r="I14" s="239" t="n"/>
      <c r="J14" s="239" t="n"/>
      <c r="K14" s="256" t="n"/>
      <c r="L14" s="258" t="n"/>
    </row>
    <row r="15" ht="15" customHeight="1">
      <c r="A15" s="267" t="inlineStr">
        <is>
          <t>Deputy Country Director (or designee)</t>
        </is>
      </c>
      <c r="B15" s="260" t="n"/>
      <c r="C15" s="261" t="n"/>
      <c r="D15" s="262" t="n"/>
      <c r="E15" s="263" t="n"/>
      <c r="F15" s="264" t="n"/>
      <c r="G15" s="265" t="n"/>
      <c r="H15" s="265" t="n"/>
      <c r="I15" s="265" t="n"/>
      <c r="J15" s="265" t="n"/>
      <c r="K15" s="263" t="n"/>
      <c r="L15" s="266" t="n"/>
    </row>
    <row r="16" ht="15" customHeight="1">
      <c r="A16" s="253" t="inlineStr">
        <is>
          <t>Requests &gt;= US$5,000 and &lt; US$10,000
Requests &lt;US$10,000 for Training and Compliance</t>
        </is>
      </c>
      <c r="B16" s="254" t="n"/>
      <c r="C16" s="255" t="n"/>
      <c r="D16" s="239" t="n"/>
      <c r="E16" s="256" t="n"/>
      <c r="F16" s="257" t="n"/>
      <c r="G16" s="239" t="n"/>
      <c r="H16" s="239" t="n"/>
      <c r="I16" s="239" t="n"/>
      <c r="J16" s="239" t="n"/>
      <c r="K16" s="256" t="n"/>
      <c r="L16" s="258" t="n"/>
    </row>
    <row r="17" ht="15" customHeight="1">
      <c r="A17" s="267" t="inlineStr">
        <is>
          <t>Country Director (or designee)</t>
        </is>
      </c>
      <c r="B17" s="260" t="n"/>
      <c r="C17" s="261" t="n"/>
      <c r="D17" s="162" t="n"/>
      <c r="E17" s="263" t="n"/>
      <c r="F17" s="268" t="n"/>
      <c r="G17" s="265" t="n"/>
      <c r="H17" s="265" t="n"/>
      <c r="I17" s="265" t="n"/>
      <c r="J17" s="265" t="n"/>
      <c r="K17" s="263" t="n"/>
      <c r="L17" s="266" t="n"/>
    </row>
    <row r="18" ht="15" customHeight="1">
      <c r="A18" s="253" t="inlineStr">
        <is>
          <t>Requests &gt;= US$5,000 and &lt; US$50,000</t>
        </is>
      </c>
      <c r="B18" s="254" t="n"/>
      <c r="C18" s="255" t="n"/>
      <c r="D18" s="238" t="n"/>
      <c r="E18" s="250" t="n"/>
      <c r="F18" s="269" t="n"/>
      <c r="G18" s="238" t="n"/>
      <c r="H18" s="238" t="n"/>
      <c r="I18" s="238" t="n"/>
      <c r="J18" s="238" t="n"/>
      <c r="K18" s="250" t="n"/>
      <c r="L18" s="258" t="n"/>
    </row>
    <row r="19" ht="24.6" customHeight="1" thickBot="1">
      <c r="A19" s="259" t="inlineStr">
        <is>
          <t>Finance Manager</t>
        </is>
      </c>
      <c r="B19" s="260" t="n"/>
      <c r="C19" s="261" t="n"/>
      <c r="D19" s="43" t="n"/>
      <c r="E19" s="39" t="n"/>
      <c r="F19" s="45" t="n"/>
      <c r="G19" s="40" t="n"/>
      <c r="H19" s="40" t="n"/>
      <c r="I19" s="40" t="n"/>
      <c r="J19" s="40" t="n"/>
      <c r="K19" s="42" t="n"/>
      <c r="L19" s="270" t="n"/>
    </row>
    <row r="20" ht="17.1" customFormat="1" customHeight="1" s="59">
      <c r="A20" s="271" t="inlineStr">
        <is>
          <t>#</t>
        </is>
      </c>
      <c r="B20" s="158" t="inlineStr">
        <is>
          <t>Item Description - French</t>
        </is>
      </c>
      <c r="C20" s="272" t="inlineStr">
        <is>
          <t>Item Description - English</t>
        </is>
      </c>
      <c r="D20" s="158" t="inlineStr">
        <is>
          <t>Units</t>
        </is>
      </c>
      <c r="E20" s="158" t="inlineStr">
        <is>
          <t>Speedkey</t>
        </is>
      </c>
      <c r="F20" s="158" t="inlineStr">
        <is>
          <t>Account No.</t>
        </is>
      </c>
      <c r="G20" s="158" t="inlineStr">
        <is>
          <t>Qty</t>
        </is>
      </c>
      <c r="H20" s="158" t="inlineStr">
        <is>
          <t>Est. Unit Price</t>
        </is>
      </c>
      <c r="I20" s="143" t="inlineStr">
        <is>
          <t>Tax (X)</t>
        </is>
      </c>
      <c r="J20" s="182" t="inlineStr">
        <is>
          <t>Est. Price</t>
        </is>
      </c>
      <c r="K20" s="273" t="n"/>
      <c r="L20" s="179" t="inlineStr">
        <is>
          <t>Actual Price</t>
        </is>
      </c>
    </row>
    <row r="21" ht="21.6" customFormat="1" customHeight="1" s="60">
      <c r="A21" s="274" t="n"/>
      <c r="B21" s="275" t="n"/>
      <c r="C21" s="257" t="n"/>
      <c r="D21" s="275" t="n"/>
      <c r="E21" s="275" t="n"/>
      <c r="F21" s="275" t="n"/>
      <c r="G21" s="275" t="n"/>
      <c r="H21" s="275" t="n"/>
      <c r="I21" s="257" t="n"/>
      <c r="J21" s="274" t="n"/>
      <c r="K21" s="256" t="n"/>
      <c r="L21" s="276" t="n"/>
    </row>
    <row r="22" ht="22.8" customFormat="1" customHeight="1" s="57">
      <c r="A22" s="68" t="n">
        <v>1</v>
      </c>
      <c r="B22" s="69" t="n"/>
      <c r="C22" s="72" t="n"/>
      <c r="D22" s="73" t="n"/>
      <c r="E22" s="69" t="n"/>
      <c r="F22" s="74" t="n"/>
      <c r="G22" s="69" t="n"/>
      <c r="H22" s="277" t="n"/>
      <c r="I22" s="76" t="n"/>
      <c r="J22" s="278">
        <f>IF(G22="","",G22*H22)</f>
        <v/>
      </c>
      <c r="K22" s="279" t="n"/>
      <c r="L22" s="280" t="n"/>
    </row>
    <row r="23" ht="22.8" customFormat="1" customHeight="1" s="57">
      <c r="A23" s="68">
        <f>A22+1</f>
        <v/>
      </c>
      <c r="B23" s="69" t="n"/>
      <c r="C23" s="72" t="n"/>
      <c r="D23" s="73" t="n"/>
      <c r="E23" s="69" t="n"/>
      <c r="F23" s="74" t="n"/>
      <c r="G23" s="69" t="n"/>
      <c r="H23" s="277" t="n"/>
      <c r="I23" s="76" t="n"/>
      <c r="J23" s="278">
        <f>IF(G23="","",G23*H23)</f>
        <v/>
      </c>
      <c r="K23" s="279" t="n"/>
      <c r="L23" s="87" t="n"/>
    </row>
    <row r="24" ht="22.8" customFormat="1" customHeight="1" s="57">
      <c r="A24" s="68">
        <f>A23+1</f>
        <v/>
      </c>
      <c r="B24" s="69" t="n"/>
      <c r="C24" s="72" t="n"/>
      <c r="D24" s="73" t="n"/>
      <c r="E24" s="69" t="n"/>
      <c r="F24" s="74" t="n"/>
      <c r="G24" s="69" t="n"/>
      <c r="H24" s="277" t="n"/>
      <c r="I24" s="76" t="n"/>
      <c r="J24" s="278">
        <f>IF(G24="","",G24*H24)</f>
        <v/>
      </c>
      <c r="K24" s="279" t="n"/>
      <c r="L24" s="280" t="n"/>
    </row>
    <row r="25" ht="22.8" customFormat="1" customHeight="1" s="57">
      <c r="A25" s="68">
        <f>A24+1</f>
        <v/>
      </c>
      <c r="B25" s="69" t="n"/>
      <c r="C25" s="72" t="n"/>
      <c r="D25" s="73" t="n"/>
      <c r="E25" s="69" t="n"/>
      <c r="F25" s="74" t="n"/>
      <c r="G25" s="69" t="n"/>
      <c r="H25" s="277" t="n"/>
      <c r="I25" s="76" t="n"/>
      <c r="J25" s="278">
        <f>IF(G25="","",G25*H25)</f>
        <v/>
      </c>
      <c r="K25" s="279" t="n"/>
      <c r="L25" s="280" t="n"/>
    </row>
    <row r="26" ht="22.8" customFormat="1" customHeight="1" s="57">
      <c r="A26" s="68">
        <f>A25+1</f>
        <v/>
      </c>
      <c r="B26" s="69" t="n"/>
      <c r="C26" s="72" t="n"/>
      <c r="D26" s="73" t="n"/>
      <c r="E26" s="69" t="n"/>
      <c r="F26" s="74" t="n"/>
      <c r="G26" s="69" t="n"/>
      <c r="H26" s="277" t="n"/>
      <c r="I26" s="77" t="n"/>
      <c r="J26" s="278">
        <f>IF(G26="","",G26*H26)</f>
        <v/>
      </c>
      <c r="K26" s="279" t="n"/>
      <c r="L26" s="281" t="n"/>
    </row>
    <row r="27" ht="22.8" customFormat="1" customHeight="1" s="57">
      <c r="A27" s="68">
        <f>A26+1</f>
        <v/>
      </c>
      <c r="B27" s="69" t="n"/>
      <c r="C27" s="72" t="n"/>
      <c r="D27" s="73" t="n"/>
      <c r="E27" s="69" t="n"/>
      <c r="F27" s="74" t="n"/>
      <c r="G27" s="69" t="n"/>
      <c r="H27" s="277" t="n"/>
      <c r="I27" s="78" t="n"/>
      <c r="J27" s="278">
        <f>IF(G27="","",G27*H27)</f>
        <v/>
      </c>
      <c r="K27" s="279" t="n"/>
      <c r="L27" s="280" t="n"/>
    </row>
    <row r="28" ht="22.8" customFormat="1" customHeight="1" s="57">
      <c r="A28" s="68">
        <f>A27+1</f>
        <v/>
      </c>
      <c r="B28" s="69" t="n"/>
      <c r="C28" s="72" t="n"/>
      <c r="D28" s="73" t="n"/>
      <c r="E28" s="69" t="n"/>
      <c r="F28" s="74" t="n"/>
      <c r="G28" s="69" t="n"/>
      <c r="H28" s="277" t="n"/>
      <c r="I28" s="78" t="n"/>
      <c r="J28" s="278">
        <f>IF(G28="","",G28*H28)</f>
        <v/>
      </c>
      <c r="K28" s="279" t="n"/>
      <c r="L28" s="280" t="n"/>
    </row>
    <row r="29" ht="22.8" customFormat="1" customHeight="1" s="57">
      <c r="A29" s="68">
        <f>A28+1</f>
        <v/>
      </c>
      <c r="B29" s="69" t="n"/>
      <c r="C29" s="72" t="n"/>
      <c r="D29" s="73" t="n"/>
      <c r="E29" s="69" t="n"/>
      <c r="F29" s="74" t="n"/>
      <c r="G29" s="69" t="n"/>
      <c r="H29" s="277" t="n"/>
      <c r="I29" s="78" t="n"/>
      <c r="J29" s="278">
        <f>IF(G29="","",G29*H29)</f>
        <v/>
      </c>
      <c r="K29" s="279" t="n"/>
      <c r="L29" s="280" t="n"/>
    </row>
    <row r="30" ht="22.8" customFormat="1" customHeight="1" s="57">
      <c r="A30" s="68">
        <f>A29+1</f>
        <v/>
      </c>
      <c r="B30" s="69" t="n"/>
      <c r="C30" s="72" t="n"/>
      <c r="D30" s="73" t="n"/>
      <c r="E30" s="69" t="n"/>
      <c r="F30" s="74" t="n"/>
      <c r="G30" s="69" t="n"/>
      <c r="H30" s="277" t="n"/>
      <c r="I30" s="79" t="n"/>
      <c r="J30" s="278">
        <f>IF(G30="","",G30*H30)</f>
        <v/>
      </c>
      <c r="K30" s="279" t="n"/>
      <c r="L30" s="281" t="n"/>
    </row>
    <row r="31" ht="22.8" customFormat="1" customHeight="1" s="57">
      <c r="A31" s="68">
        <f>A30+1</f>
        <v/>
      </c>
      <c r="B31" s="69" t="n"/>
      <c r="C31" s="72" t="n"/>
      <c r="D31" s="73" t="n"/>
      <c r="E31" s="69" t="n"/>
      <c r="F31" s="74" t="n"/>
      <c r="G31" s="69" t="n"/>
      <c r="H31" s="277" t="n"/>
      <c r="I31" s="79" t="n"/>
      <c r="J31" s="278">
        <f>IF(G31="","",G31*H31)</f>
        <v/>
      </c>
      <c r="K31" s="279" t="n"/>
      <c r="L31" s="281" t="n"/>
    </row>
    <row r="32" ht="22.8" customFormat="1" customHeight="1" s="57">
      <c r="A32" s="68">
        <f>A31+1</f>
        <v/>
      </c>
      <c r="B32" s="69" t="n"/>
      <c r="C32" s="72" t="n"/>
      <c r="D32" s="73" t="n"/>
      <c r="E32" s="69" t="n"/>
      <c r="F32" s="74" t="n"/>
      <c r="G32" s="69" t="n"/>
      <c r="H32" s="277" t="n"/>
      <c r="I32" s="78" t="n"/>
      <c r="J32" s="278">
        <f>IF(G32="","",G32*H32)</f>
        <v/>
      </c>
      <c r="K32" s="279" t="n"/>
      <c r="L32" s="280" t="n"/>
    </row>
    <row r="33" ht="22.8" customFormat="1" customHeight="1" s="57">
      <c r="A33" s="68">
        <f>A32+1</f>
        <v/>
      </c>
      <c r="B33" s="69" t="n"/>
      <c r="C33" s="72" t="n"/>
      <c r="D33" s="73" t="n"/>
      <c r="E33" s="69" t="n"/>
      <c r="F33" s="74" t="n"/>
      <c r="G33" s="69" t="n"/>
      <c r="H33" s="277" t="n"/>
      <c r="I33" s="78" t="n"/>
      <c r="J33" s="278">
        <f>IF(G33="","",G33*H33)</f>
        <v/>
      </c>
      <c r="K33" s="279" t="n"/>
      <c r="L33" s="280" t="n"/>
    </row>
    <row r="34" ht="22.8" customFormat="1" customHeight="1" s="57">
      <c r="A34" s="68">
        <f>A33+1</f>
        <v/>
      </c>
      <c r="B34" s="69" t="n"/>
      <c r="C34" s="72" t="n"/>
      <c r="D34" s="73" t="n"/>
      <c r="E34" s="69" t="n"/>
      <c r="F34" s="74" t="n"/>
      <c r="G34" s="69" t="n"/>
      <c r="H34" s="282" t="n"/>
      <c r="I34" s="277" t="n"/>
      <c r="J34" s="278">
        <f>IF(G34="","",G34*H34)</f>
        <v/>
      </c>
      <c r="K34" s="279" t="n"/>
      <c r="L34" s="280" t="n"/>
    </row>
    <row r="35" ht="22.8" customFormat="1" customHeight="1" s="57">
      <c r="A35" s="68">
        <f>A34+1</f>
        <v/>
      </c>
      <c r="B35" s="69" t="n"/>
      <c r="C35" s="72" t="n"/>
      <c r="D35" s="73" t="n"/>
      <c r="E35" s="69" t="n"/>
      <c r="F35" s="74" t="n"/>
      <c r="G35" s="69" t="n"/>
      <c r="H35" s="283" t="n"/>
      <c r="I35" s="277" t="n"/>
      <c r="J35" s="278">
        <f>IF(G35="","",G35*H35)</f>
        <v/>
      </c>
      <c r="K35" s="279" t="n"/>
      <c r="L35" s="280" t="n"/>
    </row>
    <row r="36" ht="22.8" customFormat="1" customHeight="1" s="57">
      <c r="A36" s="68">
        <f>A35+1</f>
        <v/>
      </c>
      <c r="B36" s="69" t="n"/>
      <c r="C36" s="72" t="n"/>
      <c r="D36" s="73" t="n"/>
      <c r="E36" s="69" t="n"/>
      <c r="F36" s="74" t="n"/>
      <c r="G36" s="69" t="n"/>
      <c r="H36" s="277" t="n"/>
      <c r="I36" s="78" t="n"/>
      <c r="J36" s="278">
        <f>IF(G36="","",G36*H36)</f>
        <v/>
      </c>
      <c r="K36" s="279" t="n"/>
      <c r="L36" s="280" t="n"/>
    </row>
    <row r="37" ht="22.8" customFormat="1" customHeight="1" s="57">
      <c r="A37" s="68">
        <f>A36+1</f>
        <v/>
      </c>
      <c r="B37" s="69" t="n"/>
      <c r="C37" s="72" t="n"/>
      <c r="D37" s="73" t="n"/>
      <c r="E37" s="69" t="n"/>
      <c r="F37" s="74" t="n"/>
      <c r="G37" s="69" t="n"/>
      <c r="H37" s="277" t="n"/>
      <c r="I37" s="78" t="n"/>
      <c r="J37" s="278">
        <f>IF(G37="","",G37*H37)</f>
        <v/>
      </c>
      <c r="K37" s="279" t="n"/>
      <c r="L37" s="280" t="n"/>
    </row>
    <row r="38" ht="22.8" customFormat="1" customHeight="1" s="57">
      <c r="A38" s="68">
        <f>A37+1</f>
        <v/>
      </c>
      <c r="B38" s="69" t="n"/>
      <c r="C38" s="72" t="n"/>
      <c r="D38" s="73" t="n"/>
      <c r="E38" s="69" t="n"/>
      <c r="F38" s="74" t="n"/>
      <c r="G38" s="69" t="n"/>
      <c r="H38" s="277" t="n"/>
      <c r="I38" s="78" t="n"/>
      <c r="J38" s="278">
        <f>IF(G38="","",G38*H38)</f>
        <v/>
      </c>
      <c r="K38" s="279" t="n"/>
      <c r="L38" s="280" t="n"/>
    </row>
    <row r="39" ht="22.8" customFormat="1" customHeight="1" s="57">
      <c r="A39" s="68">
        <f>A38+1</f>
        <v/>
      </c>
      <c r="B39" s="69" t="n"/>
      <c r="C39" s="72" t="n"/>
      <c r="D39" s="73" t="n"/>
      <c r="E39" s="69" t="n"/>
      <c r="F39" s="74" t="n"/>
      <c r="G39" s="69" t="n"/>
      <c r="H39" s="277" t="n"/>
      <c r="I39" s="78" t="n"/>
      <c r="J39" s="278">
        <f>IF(G39="","",G39*H39)</f>
        <v/>
      </c>
      <c r="K39" s="279" t="n"/>
      <c r="L39" s="280" t="n"/>
    </row>
    <row r="40" ht="22.8" customFormat="1" customHeight="1" s="57">
      <c r="A40" s="68">
        <f>A39+1</f>
        <v/>
      </c>
      <c r="B40" s="69" t="n"/>
      <c r="C40" s="72" t="n"/>
      <c r="D40" s="73" t="n"/>
      <c r="E40" s="69" t="n"/>
      <c r="F40" s="74" t="n"/>
      <c r="G40" s="69" t="n"/>
      <c r="H40" s="277" t="n"/>
      <c r="I40" s="78" t="n"/>
      <c r="J40" s="278">
        <f>IF(G40="","",G40*H40)</f>
        <v/>
      </c>
      <c r="K40" s="279" t="n"/>
      <c r="L40" s="280" t="n"/>
    </row>
    <row r="41" ht="22.8" customFormat="1" customHeight="1" s="57">
      <c r="A41" s="68">
        <f>A40+1</f>
        <v/>
      </c>
      <c r="B41" s="69" t="n"/>
      <c r="C41" s="72" t="n"/>
      <c r="D41" s="73" t="n"/>
      <c r="E41" s="69" t="n"/>
      <c r="F41" s="74" t="n"/>
      <c r="G41" s="69" t="n"/>
      <c r="H41" s="277" t="n"/>
      <c r="I41" s="78" t="n"/>
      <c r="J41" s="278">
        <f>IF(G41="","",G41*H41)</f>
        <v/>
      </c>
      <c r="K41" s="279" t="n"/>
      <c r="L41" s="280" t="n"/>
    </row>
    <row r="42" ht="22.8" customFormat="1" customHeight="1" s="57">
      <c r="A42" s="68">
        <f>A41+1</f>
        <v/>
      </c>
      <c r="B42" s="69" t="n"/>
      <c r="C42" s="72" t="n"/>
      <c r="D42" s="73" t="n"/>
      <c r="E42" s="69" t="n"/>
      <c r="F42" s="74" t="n"/>
      <c r="G42" s="69" t="n"/>
      <c r="H42" s="277" t="n"/>
      <c r="I42" s="78" t="n"/>
      <c r="J42" s="278">
        <f>IF(G42="","",G42*H42)</f>
        <v/>
      </c>
      <c r="K42" s="279" t="n"/>
      <c r="L42" s="280" t="n"/>
    </row>
    <row r="43" ht="22.8" customFormat="1" customHeight="1" s="57">
      <c r="A43" s="68">
        <f>A42+1</f>
        <v/>
      </c>
      <c r="B43" s="69" t="n"/>
      <c r="C43" s="72" t="n"/>
      <c r="D43" s="73" t="n"/>
      <c r="E43" s="69" t="n"/>
      <c r="F43" s="74" t="n"/>
      <c r="G43" s="69" t="n"/>
      <c r="H43" s="277" t="n"/>
      <c r="I43" s="78" t="n"/>
      <c r="J43" s="278">
        <f>IF(G43="","",G43*H43)</f>
        <v/>
      </c>
      <c r="K43" s="279" t="n"/>
      <c r="L43" s="280" t="n"/>
    </row>
    <row r="44" ht="22.8" customFormat="1" customHeight="1" s="57">
      <c r="A44" s="68">
        <f>A43+1</f>
        <v/>
      </c>
      <c r="B44" s="69" t="n"/>
      <c r="C44" s="72" t="n"/>
      <c r="D44" s="73" t="n"/>
      <c r="E44" s="69" t="n"/>
      <c r="F44" s="74" t="n"/>
      <c r="G44" s="69" t="n"/>
      <c r="H44" s="277" t="n"/>
      <c r="I44" s="78" t="n"/>
      <c r="J44" s="278">
        <f>IF(G44="","",G44*H44)</f>
        <v/>
      </c>
      <c r="K44" s="279" t="n"/>
      <c r="L44" s="280" t="n"/>
    </row>
    <row r="45" ht="22.8" customFormat="1" customHeight="1" s="57">
      <c r="A45" s="68">
        <f>A44+1</f>
        <v/>
      </c>
      <c r="B45" s="69" t="n"/>
      <c r="C45" s="72" t="n"/>
      <c r="D45" s="73" t="n"/>
      <c r="E45" s="69" t="n"/>
      <c r="F45" s="74" t="n"/>
      <c r="G45" s="69" t="n"/>
      <c r="H45" s="277" t="n"/>
      <c r="I45" s="78" t="n"/>
      <c r="J45" s="278">
        <f>IF(G45="","",G45*H45)</f>
        <v/>
      </c>
      <c r="K45" s="279" t="n"/>
      <c r="L45" s="280" t="n"/>
    </row>
    <row r="46" ht="22.8" customFormat="1" customHeight="1" s="57" thickBot="1">
      <c r="A46" s="70">
        <f>A45+1</f>
        <v/>
      </c>
      <c r="B46" s="71" t="n"/>
      <c r="C46" s="82" t="n"/>
      <c r="D46" s="73" t="n"/>
      <c r="E46" s="71" t="n"/>
      <c r="F46" s="83" t="n"/>
      <c r="G46" s="71" t="n"/>
      <c r="H46" s="284" t="n"/>
      <c r="I46" s="85" t="n"/>
      <c r="J46" s="285">
        <f>IF(G46="","",G46*H46)</f>
        <v/>
      </c>
      <c r="K46" s="261" t="n"/>
      <c r="L46" s="280" t="n"/>
    </row>
    <row r="47" ht="25.05" customFormat="1" customHeight="1" s="57" thickBot="1">
      <c r="A47" s="153" t="inlineStr">
        <is>
          <t>TOTALS:</t>
        </is>
      </c>
      <c r="B47" s="246" t="n"/>
      <c r="C47" s="246" t="n"/>
      <c r="D47" s="246" t="n"/>
      <c r="E47" s="246" t="n"/>
      <c r="F47" s="246" t="n"/>
      <c r="G47" s="246" t="n"/>
      <c r="H47" s="246" t="n"/>
      <c r="I47" s="247" t="n"/>
      <c r="J47" s="286">
        <f>SUM($J$22:$K$46)</f>
        <v/>
      </c>
      <c r="K47" s="287" t="n"/>
      <c r="L47" s="288" t="inlineStr"/>
    </row>
    <row r="48" ht="15" customFormat="1" customHeight="1" s="57">
      <c r="A48" s="37" t="inlineStr">
        <is>
          <t xml:space="preserve"> </t>
        </is>
      </c>
      <c r="B48" s="188" t="inlineStr">
        <is>
          <t xml:space="preserve">IF A FIXED ASSET IS PURCHASED, INCLUDE THE SP TAG #    </t>
        </is>
      </c>
      <c r="F48" s="289" t="inlineStr">
        <is>
          <t xml:space="preserve">   SP</t>
        </is>
      </c>
      <c r="G48" s="290" t="n"/>
      <c r="H48" s="38" t="n"/>
      <c r="I48" s="38" t="n"/>
      <c r="J48" s="291" t="n"/>
      <c r="L48" s="34" t="n"/>
      <c r="M48" s="57" t="n"/>
    </row>
    <row r="49" ht="8.1" customFormat="1" customHeight="1" s="57" thickBot="1">
      <c r="A49" s="36" t="n"/>
      <c r="B49" s="292" t="n"/>
      <c r="C49" s="292" t="n"/>
      <c r="D49" s="292" t="n"/>
      <c r="E49" s="292" t="n"/>
      <c r="F49" s="293" t="n"/>
      <c r="G49" s="294" t="n"/>
      <c r="H49" s="35" t="n"/>
      <c r="I49" s="35" t="n"/>
      <c r="J49" s="14" t="n"/>
      <c r="K49" s="18" t="n"/>
      <c r="L49" s="14" t="n"/>
    </row>
    <row r="50" ht="20.1" customFormat="1" customHeight="1" s="57">
      <c r="A50" s="116" t="inlineStr">
        <is>
          <t>RECEIPT</t>
        </is>
      </c>
      <c r="B50" s="237" t="n"/>
      <c r="C50" s="237" t="n"/>
      <c r="D50" s="237" t="n"/>
      <c r="E50" s="237" t="n"/>
      <c r="F50" s="237" t="n"/>
      <c r="G50" s="237" t="n"/>
      <c r="H50" s="237" t="n"/>
      <c r="I50" s="237" t="n"/>
      <c r="J50" s="237" t="n"/>
      <c r="K50" s="237" t="n"/>
      <c r="L50" s="295" t="n"/>
    </row>
    <row r="51" ht="15" customHeight="1">
      <c r="A51" s="199" t="inlineStr">
        <is>
          <t>Print Name</t>
        </is>
      </c>
      <c r="B51" s="243" t="n"/>
      <c r="C51" s="296" t="n"/>
      <c r="D51" s="200" t="inlineStr">
        <is>
          <t>Signature</t>
        </is>
      </c>
      <c r="E51" s="243" t="n"/>
      <c r="F51" s="243" t="n"/>
      <c r="G51" s="243" t="n"/>
      <c r="H51" s="243" t="n"/>
      <c r="I51" s="243" t="n"/>
      <c r="J51" s="243" t="n"/>
      <c r="K51" s="296" t="n"/>
      <c r="L51" s="19" t="inlineStr">
        <is>
          <t>Date</t>
        </is>
      </c>
    </row>
    <row r="52" ht="15" customHeight="1">
      <c r="A52" s="297" t="n"/>
      <c r="B52" s="265" t="n"/>
      <c r="C52" s="263" t="n"/>
      <c r="D52" s="101" t="n"/>
      <c r="E52" s="265" t="n"/>
      <c r="F52" s="265" t="n"/>
      <c r="G52" s="265" t="n"/>
      <c r="H52" s="265" t="n"/>
      <c r="I52" s="265" t="n"/>
      <c r="J52" s="265" t="n"/>
      <c r="K52" s="263" t="n"/>
      <c r="L52" s="298" t="n"/>
    </row>
    <row r="53" ht="15" customHeight="1">
      <c r="A53" s="274" t="n"/>
      <c r="B53" s="239" t="n"/>
      <c r="C53" s="256" t="n"/>
      <c r="D53" s="257" t="n"/>
      <c r="E53" s="239" t="n"/>
      <c r="F53" s="239" t="n"/>
      <c r="G53" s="239" t="n"/>
      <c r="H53" s="239" t="n"/>
      <c r="I53" s="239" t="n"/>
      <c r="J53" s="239" t="n"/>
      <c r="K53" s="256" t="n"/>
      <c r="L53" s="258" t="n"/>
    </row>
    <row r="54">
      <c r="A54" s="208" t="inlineStr">
        <is>
          <t>I acknowledge I am personally responsible for these funds and must account for the money in full by submitting valid receipts and/or remaining cash within 24 hours.  I understand I am personally liable for any amounts for which I do not account.</t>
        </is>
      </c>
      <c r="B54" s="265" t="n"/>
      <c r="C54" s="265" t="n"/>
      <c r="D54" s="265" t="n"/>
      <c r="E54" s="265" t="n"/>
      <c r="F54" s="265" t="n"/>
      <c r="G54" s="265" t="n"/>
      <c r="H54" s="265" t="n"/>
      <c r="I54" s="265" t="n"/>
      <c r="J54" s="265" t="n"/>
      <c r="K54" s="265" t="n"/>
      <c r="L54" s="263" t="n"/>
    </row>
    <row r="55" ht="15" customHeight="1" thickBot="1">
      <c r="A55" s="274" t="n"/>
      <c r="B55" s="239" t="n"/>
      <c r="C55" s="239" t="n"/>
      <c r="D55" s="239" t="n"/>
      <c r="E55" s="239" t="n"/>
      <c r="F55" s="239" t="n"/>
      <c r="G55" s="239" t="n"/>
      <c r="H55" s="239" t="n"/>
      <c r="I55" s="239" t="n"/>
      <c r="J55" s="239" t="n"/>
      <c r="K55" s="239" t="n"/>
      <c r="L55" s="256" t="n"/>
    </row>
    <row r="56" ht="8.1" customFormat="1" customHeight="1" s="57" thickBot="1">
      <c r="A56" s="36" t="n"/>
      <c r="B56" s="1" t="n"/>
      <c r="C56" s="1" t="n"/>
      <c r="D56" s="1" t="n"/>
      <c r="E56" s="46" t="n"/>
      <c r="F56" s="46" t="n"/>
      <c r="G56" s="299" t="n"/>
      <c r="H56" s="17" t="n"/>
      <c r="I56" s="18" t="n"/>
      <c r="J56" s="18" t="inlineStr"/>
      <c r="K56" s="18" t="n"/>
      <c r="L56" s="18" t="inlineStr"/>
    </row>
    <row r="57" ht="20.1" customFormat="1" customHeight="1" s="57">
      <c r="A57" s="116" t="inlineStr">
        <is>
          <t>RECONCILIATION</t>
        </is>
      </c>
      <c r="B57" s="237" t="n"/>
      <c r="C57" s="237" t="n"/>
      <c r="D57" s="295" t="n"/>
      <c r="E57" s="134" t="n"/>
      <c r="F57" s="47" t="inlineStr">
        <is>
          <t>Denom</t>
        </is>
      </c>
      <c r="G57" s="119" t="inlineStr">
        <is>
          <t>Cnt Out</t>
        </is>
      </c>
      <c r="H57" s="119" t="inlineStr">
        <is>
          <t>Cash Out</t>
        </is>
      </c>
      <c r="I57" s="295" t="n"/>
      <c r="J57" s="119" t="inlineStr">
        <is>
          <t>Cnt In</t>
        </is>
      </c>
      <c r="K57" s="119" t="inlineStr">
        <is>
          <t>Cash In</t>
        </is>
      </c>
      <c r="L57" s="295" t="n"/>
    </row>
    <row r="58" ht="12" customFormat="1" customHeight="1" s="57">
      <c r="A58" s="95" t="inlineStr">
        <is>
          <t>Total cash received:</t>
        </is>
      </c>
      <c r="B58" s="238" t="n"/>
      <c r="C58" s="238" t="n"/>
      <c r="D58" s="98" t="n"/>
      <c r="E58" s="300" t="n"/>
      <c r="F58" s="29" t="inlineStr">
        <is>
          <t>$100</t>
        </is>
      </c>
      <c r="G58" s="27" t="n"/>
      <c r="H58" s="93" t="n"/>
      <c r="I58" s="296" t="n"/>
      <c r="J58" s="28" t="n"/>
      <c r="K58" s="93" t="n"/>
      <c r="L58" s="296" t="n"/>
    </row>
    <row r="59" ht="12" customFormat="1" customHeight="1" s="57">
      <c r="A59" s="301" t="n"/>
      <c r="B59" s="238" t="n"/>
      <c r="C59" s="238" t="n"/>
      <c r="D59" s="239" t="n"/>
      <c r="E59" s="300" t="n"/>
      <c r="F59" s="29" t="inlineStr">
        <is>
          <t>$50</t>
        </is>
      </c>
      <c r="G59" s="27" t="n"/>
      <c r="H59" s="93" t="n"/>
      <c r="I59" s="296" t="n"/>
      <c r="J59" s="28" t="n"/>
      <c r="K59" s="93" t="n"/>
      <c r="L59" s="296" t="n"/>
    </row>
    <row r="60" ht="12" customFormat="1" customHeight="1" s="57">
      <c r="A60" s="95" t="inlineStr">
        <is>
          <t>Less total receipts submitted:</t>
        </is>
      </c>
      <c r="B60" s="238" t="n"/>
      <c r="C60" s="238" t="n"/>
      <c r="D60" s="99" t="n"/>
      <c r="E60" s="300" t="n"/>
      <c r="F60" s="29" t="inlineStr">
        <is>
          <t>$20</t>
        </is>
      </c>
      <c r="G60" s="27" t="n"/>
      <c r="H60" s="93" t="n"/>
      <c r="I60" s="296" t="n"/>
      <c r="J60" s="28" t="n"/>
      <c r="K60" s="93" t="n"/>
      <c r="L60" s="296" t="n"/>
    </row>
    <row r="61" ht="12" customFormat="1" customHeight="1" s="57">
      <c r="A61" s="301" t="n"/>
      <c r="B61" s="238" t="n"/>
      <c r="C61" s="238" t="n"/>
      <c r="D61" s="239" t="n"/>
      <c r="E61" s="300" t="n"/>
      <c r="F61" s="29" t="inlineStr">
        <is>
          <t>$10</t>
        </is>
      </c>
      <c r="G61" s="27" t="n"/>
      <c r="H61" s="93" t="n"/>
      <c r="I61" s="296" t="n"/>
      <c r="J61" s="28" t="n"/>
      <c r="K61" s="93" t="n"/>
      <c r="L61" s="296" t="n"/>
    </row>
    <row r="62" ht="12" customFormat="1" customHeight="1" s="57">
      <c r="A62" s="95" t="inlineStr">
        <is>
          <t>Less total cash returned:</t>
        </is>
      </c>
      <c r="B62" s="238" t="n"/>
      <c r="C62" s="238" t="n"/>
      <c r="D62" s="99" t="n"/>
      <c r="E62" s="300" t="n"/>
      <c r="F62" s="29" t="inlineStr">
        <is>
          <t>$5</t>
        </is>
      </c>
      <c r="G62" s="27" t="n"/>
      <c r="H62" s="93" t="n"/>
      <c r="I62" s="296" t="n"/>
      <c r="J62" s="28" t="n"/>
      <c r="K62" s="93" t="n"/>
      <c r="L62" s="296" t="n"/>
    </row>
    <row r="63" ht="12" customFormat="1" customHeight="1" s="57">
      <c r="A63" s="301" t="n"/>
      <c r="B63" s="238" t="n"/>
      <c r="C63" s="238" t="n"/>
      <c r="D63" s="239" t="n"/>
      <c r="E63" s="300" t="n"/>
      <c r="F63" s="29" t="inlineStr">
        <is>
          <t>$1</t>
        </is>
      </c>
      <c r="G63" s="27" t="n"/>
      <c r="H63" s="93" t="n"/>
      <c r="I63" s="296" t="n"/>
      <c r="J63" s="28" t="n"/>
      <c r="K63" s="93" t="n"/>
      <c r="L63" s="296" t="n"/>
    </row>
    <row r="64" ht="12" customFormat="1" customHeight="1" s="57">
      <c r="A64" s="95" t="inlineStr">
        <is>
          <t>Remaining balance (must be zero):</t>
        </is>
      </c>
      <c r="B64" s="238" t="n"/>
      <c r="C64" s="238" t="n"/>
      <c r="D64" s="98" t="n"/>
      <c r="E64" s="300" t="n"/>
      <c r="F64" s="29" t="inlineStr">
        <is>
          <t>Coins</t>
        </is>
      </c>
      <c r="G64" s="27" t="n"/>
      <c r="H64" s="93" t="n"/>
      <c r="I64" s="296" t="n"/>
      <c r="J64" s="28" t="n"/>
      <c r="K64" s="93" t="n"/>
      <c r="L64" s="296" t="n"/>
    </row>
    <row r="65" ht="12" customFormat="1" customHeight="1" s="57">
      <c r="A65" s="301" t="n"/>
      <c r="B65" s="238" t="n"/>
      <c r="C65" s="238" t="n"/>
      <c r="D65" s="239" t="n"/>
      <c r="E65" s="300" t="n"/>
      <c r="F65" s="30" t="inlineStr">
        <is>
          <t>Totals</t>
        </is>
      </c>
      <c r="G65" s="20" t="n"/>
      <c r="H65" s="94" t="inlineStr"/>
      <c r="I65" s="302" t="n"/>
      <c r="J65" s="20" t="n"/>
      <c r="K65" s="94" t="inlineStr"/>
      <c r="L65" s="302" t="n"/>
    </row>
    <row r="66" ht="8.1" customFormat="1" customHeight="1" s="57" thickBot="1">
      <c r="A66" s="21" t="n"/>
      <c r="B66" s="22" t="n"/>
      <c r="C66" s="22" t="n"/>
      <c r="D66" s="303" t="n"/>
      <c r="E66" s="24" t="n"/>
      <c r="F66" s="48" t="n"/>
      <c r="G66" s="48" t="n"/>
      <c r="H66" s="48" t="n"/>
      <c r="I66" s="48" t="n"/>
      <c r="J66" s="48" t="n"/>
      <c r="K66" s="48" t="n"/>
      <c r="L66" s="26" t="n"/>
    </row>
    <row r="67" ht="8.1" customFormat="1" customHeight="1" s="57" thickBot="1">
      <c r="A67" s="36" t="n"/>
      <c r="B67" s="1" t="n"/>
      <c r="C67" s="1" t="n"/>
      <c r="D67" s="1" t="n"/>
      <c r="E67" s="46" t="n"/>
      <c r="F67" s="46" t="n"/>
      <c r="G67" s="299" t="n"/>
      <c r="H67" s="17" t="n"/>
      <c r="I67" s="18" t="n"/>
      <c r="J67" s="18" t="n"/>
      <c r="K67" s="18" t="n"/>
      <c r="L67" s="18" t="n"/>
    </row>
    <row r="68" ht="20.1" customFormat="1" customHeight="1" s="57">
      <c r="A68" s="116" t="inlineStr">
        <is>
          <t>CLEARANCE</t>
        </is>
      </c>
      <c r="B68" s="237" t="n"/>
      <c r="C68" s="237" t="n"/>
      <c r="D68" s="237" t="n"/>
      <c r="E68" s="237" t="n"/>
      <c r="F68" s="237" t="n"/>
      <c r="G68" s="237" t="n"/>
      <c r="H68" s="237" t="n"/>
      <c r="I68" s="237" t="n"/>
      <c r="J68" s="237" t="n"/>
      <c r="K68" s="237" t="n"/>
      <c r="L68" s="295" t="n"/>
    </row>
    <row r="69" ht="15" customHeight="1">
      <c r="A69" s="199" t="n"/>
      <c r="B69" s="296" t="n"/>
      <c r="C69" s="304" t="inlineStr">
        <is>
          <t>Print Name</t>
        </is>
      </c>
      <c r="D69" s="296" t="n"/>
      <c r="E69" s="304" t="inlineStr">
        <is>
          <t>Signature</t>
        </is>
      </c>
      <c r="F69" s="243" t="n"/>
      <c r="G69" s="243" t="n"/>
      <c r="H69" s="243" t="n"/>
      <c r="I69" s="243" t="n"/>
      <c r="J69" s="243" t="n"/>
      <c r="K69" s="296" t="n"/>
      <c r="L69" s="33" t="inlineStr">
        <is>
          <t>Date</t>
        </is>
      </c>
    </row>
    <row r="70" ht="15" customHeight="1">
      <c r="A70" s="89" t="inlineStr">
        <is>
          <t>Submitted by:</t>
        </is>
      </c>
      <c r="B70" s="263" t="n"/>
      <c r="C70" s="101" t="n"/>
      <c r="D70" s="263" t="n"/>
      <c r="E70" s="101" t="n"/>
      <c r="F70" s="265" t="n"/>
      <c r="G70" s="265" t="n"/>
      <c r="H70" s="265" t="n"/>
      <c r="I70" s="265" t="n"/>
      <c r="J70" s="265" t="n"/>
      <c r="K70" s="263" t="n"/>
      <c r="L70" s="298" t="n"/>
    </row>
    <row r="71" ht="15" customHeight="1">
      <c r="A71" s="274" t="n"/>
      <c r="B71" s="256" t="n"/>
      <c r="C71" s="257" t="n"/>
      <c r="D71" s="256" t="n"/>
      <c r="E71" s="257" t="n"/>
      <c r="F71" s="239" t="n"/>
      <c r="G71" s="239" t="n"/>
      <c r="H71" s="239" t="n"/>
      <c r="I71" s="239" t="n"/>
      <c r="J71" s="239" t="n"/>
      <c r="K71" s="256" t="n"/>
      <c r="L71" s="258" t="n"/>
    </row>
    <row r="72" ht="15" customHeight="1">
      <c r="A72" s="89" t="inlineStr">
        <is>
          <t>Cleared by (Finance):</t>
        </is>
      </c>
      <c r="B72" s="263" t="n"/>
      <c r="C72" s="100" t="n"/>
      <c r="D72" s="263" t="n"/>
      <c r="E72" s="101" t="n"/>
      <c r="F72" s="265" t="n"/>
      <c r="G72" s="265" t="n"/>
      <c r="H72" s="265" t="n"/>
      <c r="I72" s="265" t="n"/>
      <c r="J72" s="265" t="n"/>
      <c r="K72" s="263" t="n"/>
      <c r="L72" s="298" t="n"/>
    </row>
    <row r="73" ht="15" customHeight="1" thickBot="1">
      <c r="A73" s="274" t="n"/>
      <c r="B73" s="256" t="n"/>
      <c r="C73" s="239" t="n"/>
      <c r="D73" s="256" t="n"/>
      <c r="E73" s="257" t="n"/>
      <c r="F73" s="239" t="n"/>
      <c r="G73" s="239" t="n"/>
      <c r="H73" s="239" t="n"/>
      <c r="I73" s="239" t="n"/>
      <c r="J73" s="239" t="n"/>
      <c r="K73" s="256" t="n"/>
      <c r="L73" s="258" t="n"/>
    </row>
  </sheetData>
  <mergeCells count="136">
    <mergeCell ref="F5:H5"/>
    <mergeCell ref="J20:K21"/>
    <mergeCell ref="I4:L4"/>
    <mergeCell ref="J28:K28"/>
    <mergeCell ref="D9:E10"/>
    <mergeCell ref="A7:B7"/>
    <mergeCell ref="J45:K45"/>
    <mergeCell ref="D62:D63"/>
    <mergeCell ref="K58:L58"/>
    <mergeCell ref="E70:K71"/>
    <mergeCell ref="I20:I21"/>
    <mergeCell ref="D64:D65"/>
    <mergeCell ref="A20:A21"/>
    <mergeCell ref="F17:K18"/>
    <mergeCell ref="J31:K31"/>
    <mergeCell ref="E72:K73"/>
    <mergeCell ref="H65:I65"/>
    <mergeCell ref="I2:K2"/>
    <mergeCell ref="H62:I62"/>
    <mergeCell ref="F9:K10"/>
    <mergeCell ref="J23:K23"/>
    <mergeCell ref="C69:D69"/>
    <mergeCell ref="F11:K12"/>
    <mergeCell ref="A62:C63"/>
    <mergeCell ref="H63:I63"/>
    <mergeCell ref="F6:G6"/>
    <mergeCell ref="A12:C12"/>
    <mergeCell ref="F20:F21"/>
    <mergeCell ref="C70:D71"/>
    <mergeCell ref="K64:L64"/>
    <mergeCell ref="A64:C65"/>
    <mergeCell ref="B48:E49"/>
    <mergeCell ref="J34:K34"/>
    <mergeCell ref="A14:C14"/>
    <mergeCell ref="K63:L63"/>
    <mergeCell ref="I1:K1"/>
    <mergeCell ref="L20:L21"/>
    <mergeCell ref="J27:K27"/>
    <mergeCell ref="J36:K36"/>
    <mergeCell ref="A13:C13"/>
    <mergeCell ref="A54:L55"/>
    <mergeCell ref="L72:L73"/>
    <mergeCell ref="A15:C15"/>
    <mergeCell ref="J22:K22"/>
    <mergeCell ref="A51:C51"/>
    <mergeCell ref="E69:K69"/>
    <mergeCell ref="L70:L71"/>
    <mergeCell ref="J46:K46"/>
    <mergeCell ref="D51:K51"/>
    <mergeCell ref="J48:K48"/>
    <mergeCell ref="A16:C16"/>
    <mergeCell ref="D13:E14"/>
    <mergeCell ref="J29:K29"/>
    <mergeCell ref="J38:K38"/>
    <mergeCell ref="C20:C21"/>
    <mergeCell ref="E20:E21"/>
    <mergeCell ref="A18:C18"/>
    <mergeCell ref="D15:E16"/>
    <mergeCell ref="A52:C53"/>
    <mergeCell ref="A1:B1"/>
    <mergeCell ref="I3:K3"/>
    <mergeCell ref="H58:I58"/>
    <mergeCell ref="A50:L50"/>
    <mergeCell ref="A69:B69"/>
    <mergeCell ref="J40:K40"/>
    <mergeCell ref="K60:L60"/>
    <mergeCell ref="A72:B73"/>
    <mergeCell ref="J24:K24"/>
    <mergeCell ref="C72:D73"/>
    <mergeCell ref="H60:I60"/>
    <mergeCell ref="F15:K16"/>
    <mergeCell ref="A3:B3"/>
    <mergeCell ref="J26:K26"/>
    <mergeCell ref="E57:E65"/>
    <mergeCell ref="J35:K35"/>
    <mergeCell ref="L9:L10"/>
    <mergeCell ref="A5:B5"/>
    <mergeCell ref="J25:K25"/>
    <mergeCell ref="H57:I57"/>
    <mergeCell ref="B20:B21"/>
    <mergeCell ref="C3:H3"/>
    <mergeCell ref="D20:D21"/>
    <mergeCell ref="A70:B71"/>
    <mergeCell ref="L11:L12"/>
    <mergeCell ref="C6:E6"/>
    <mergeCell ref="A4:B4"/>
    <mergeCell ref="L52:L53"/>
    <mergeCell ref="K65:L65"/>
    <mergeCell ref="J42:K42"/>
    <mergeCell ref="H20:H21"/>
    <mergeCell ref="C4:E4"/>
    <mergeCell ref="K57:L57"/>
    <mergeCell ref="A57:D57"/>
    <mergeCell ref="J39:K39"/>
    <mergeCell ref="J44:K44"/>
    <mergeCell ref="L13:L14"/>
    <mergeCell ref="J37:K37"/>
    <mergeCell ref="F8:K8"/>
    <mergeCell ref="L15:L16"/>
    <mergeCell ref="A6:B6"/>
    <mergeCell ref="A58:C59"/>
    <mergeCell ref="J30:K30"/>
    <mergeCell ref="H59:I59"/>
    <mergeCell ref="A47:I47"/>
    <mergeCell ref="H64:I64"/>
    <mergeCell ref="A8:C8"/>
    <mergeCell ref="A17:C17"/>
    <mergeCell ref="A60:C61"/>
    <mergeCell ref="H61:I61"/>
    <mergeCell ref="F48:G49"/>
    <mergeCell ref="G20:G21"/>
    <mergeCell ref="A10:C10"/>
    <mergeCell ref="C1:H2"/>
    <mergeCell ref="K59:L59"/>
    <mergeCell ref="A19:C19"/>
    <mergeCell ref="A68:L68"/>
    <mergeCell ref="J32:K32"/>
    <mergeCell ref="A9:C9"/>
    <mergeCell ref="J41:K41"/>
    <mergeCell ref="F4:H4"/>
    <mergeCell ref="K61:L61"/>
    <mergeCell ref="D58:D59"/>
    <mergeCell ref="J47:K47"/>
    <mergeCell ref="D8:E8"/>
    <mergeCell ref="A11:C11"/>
    <mergeCell ref="J43:K43"/>
    <mergeCell ref="C5:E5"/>
    <mergeCell ref="D52:K53"/>
    <mergeCell ref="L17:L18"/>
    <mergeCell ref="D17:E18"/>
    <mergeCell ref="D60:D61"/>
    <mergeCell ref="D11:E12"/>
    <mergeCell ref="F13:K14"/>
    <mergeCell ref="J33:K33"/>
    <mergeCell ref="K62:L62"/>
    <mergeCell ref="I5:L5"/>
  </mergeCells>
  <conditionalFormatting sqref="L23">
    <cfRule type="containsText" priority="1" operator="containsText" dxfId="0" text="UNKNOWN">
      <formula>NOT(ISERROR(SEARCH("UNKNOWN",L23)))</formula>
    </cfRule>
  </conditionalFormatting>
  <dataValidations count="7">
    <dataValidation sqref="K6" showDropDown="0" showInputMessage="1" showErrorMessage="1" allowBlank="1" error="The LCY CURRENCY is set to 'NA'.  Therefore, it cannot be selected.  Please update the LCY currency on the 'Setup Sheet' tab of this workbook." type="custom">
      <formula1>J6&lt;&gt;"NA"</formula1>
    </dataValidation>
    <dataValidation sqref="H22:H46 L22 L24:L46" showDropDown="0" showInputMessage="1" showErrorMessage="1" allowBlank="1" error="Please enter a numeric value." type="decimal">
      <formula1>-1000000000</formula1>
      <formula2>1000000000</formula2>
    </dataValidation>
    <dataValidation sqref="I22:I46" showDropDown="0" showInputMessage="1" showErrorMessage="1" allowBlank="1" error="Please enter an 'X' if item is taxable, or leave BLANK if non-taxable." type="custom">
      <formula1>I22="X"</formula1>
    </dataValidation>
    <dataValidation sqref="C4:E4" showDropDown="0" showInputMessage="1" showErrorMessage="1" allowBlank="1" type="list">
      <formula1>INDIRECT("Requestors[Requestor]")</formula1>
    </dataValidation>
    <dataValidation sqref="I5:L5" showDropDown="0" showInputMessage="1" showErrorMessage="1" allowBlank="1" type="list">
      <formula1>INDIRECT("Bases[Base]")</formula1>
    </dataValidation>
    <dataValidation sqref="B22:B46" showDropDown="0" showInputMessage="1" showErrorMessage="1" allowBlank="1" type="list" errorStyle="warning">
      <formula1>INDIRECT("Groceries[Item Description - French]")</formula1>
    </dataValidation>
    <dataValidation sqref="E22:E46" showDropDown="0" showInputMessage="1" showErrorMessage="1" allowBlank="1" type="list">
      <formula1>INDIRECT("Speedkeys[Speedkey]")</formula1>
    </dataValidation>
  </dataValidations>
  <printOptions horizontalCentered="1"/>
  <pageMargins left="0.25" right="0.25" top="0.5" bottom="0.5" header="0" footer="0"/>
  <pageSetup orientation="portrait" scale="5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Thomas Comtois</dc:creator>
  <dc:title xmlns:dc="http://purl.org/dc/elements/1.1/">PUERTO RICO</dc:title>
  <dcterms:created xmlns:dcterms="http://purl.org/dc/terms/" xmlns:xsi="http://www.w3.org/2001/XMLSchema-instance" xsi:type="dcterms:W3CDTF">2015-11-26T12:35:42Z</dcterms:created>
  <dcterms:modified xmlns:dcterms="http://purl.org/dc/terms/" xmlns:xsi="http://www.w3.org/2001/XMLSchema-instance" xsi:type="dcterms:W3CDTF">2026-03-26T10:11:17Z</dcterms:modified>
  <cp:lastModifiedBy>Arrington, Lauren</cp:lastModifiedBy>
  <cp:lastPrinted>2026-02-23T07:19:33Z</cp:lastPrinted>
</cp:coreProperties>
</file>